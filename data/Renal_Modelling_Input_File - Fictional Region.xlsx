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Lucy.Morgan\Desktop\Renal Modelling\simPy model\renal-capacity-model\data\"/>
    </mc:Choice>
  </mc:AlternateContent>
  <xr:revisionPtr revIDLastSave="0" documentId="13_ncr:1_{E2CF1DC3-2A43-4E38-8214-E09B17DB16C2}" xr6:coauthVersionLast="47" xr6:coauthVersionMax="47" xr10:uidLastSave="{00000000-0000-0000-0000-000000000000}"/>
  <workbookProtection workbookAlgorithmName="SHA-512" workbookHashValue="BOjTuwdLGHH9qQ2dXyNlqNKgn/pzzY3ZGsqkcta7norav9cFnU1HmNuoMUppbPIg7BGXJeE53BpJzhTe+lTTJA==" workbookSaltValue="ebTux63J445YxseGFnvsqw==" workbookSpinCount="100000" lockStructure="1"/>
  <bookViews>
    <workbookView xWindow="-108" yWindow="-108" windowWidth="23256" windowHeight="12456" tabRatio="823" firstSheet="1" activeTab="6" xr2:uid="{F2F90EEA-FE26-47F0-942A-1DBACAA9371D}"/>
  </bookViews>
  <sheets>
    <sheet name="Cover Sheet" sheetId="10979" r:id="rId1"/>
    <sheet name="Background" sheetId="10980" r:id="rId2"/>
    <sheet name="DES Pathway Map" sheetId="10981" r:id="rId3"/>
    <sheet name="Costing Map" sheetId="11011" r:id="rId4"/>
    <sheet name="Methods Overview" sheetId="10982" r:id="rId5"/>
    <sheet name="simPy_sheet" sheetId="11027" state="hidden" r:id="rId6"/>
    <sheet name="Scenario Inputs" sheetId="10983" r:id="rId7"/>
    <sheet name="Cost Inputs" sheetId="11010" r:id="rId8"/>
    <sheet name="References" sheetId="10985" r:id="rId9"/>
    <sheet name="Hide Selection Settings" sheetId="10986" state="hidden" r:id="rId10"/>
    <sheet name="Prev_Pop_Initialisation" sheetId="10961" state="hidden" r:id="rId11"/>
    <sheet name="age_dist" sheetId="10929" state="hidden" r:id="rId12"/>
    <sheet name="referral_dist" sheetId="10932" state="hidden" r:id="rId13"/>
    <sheet name="daily_rate" sheetId="10962" state="hidden" r:id="rId14"/>
    <sheet name="divertToCC" sheetId="10951" state="hidden" r:id="rId15"/>
    <sheet name="suitableForTx" sheetId="10952" state="hidden" r:id="rId16"/>
    <sheet name="preE_Tx_Cadav" sheetId="10953" state="hidden" r:id="rId17"/>
    <sheet name="preE_Tx_Live" sheetId="10954" state="hidden" r:id="rId18"/>
    <sheet name="modAllocation" sheetId="10955" state="hidden" r:id="rId19"/>
    <sheet name="TxType" sheetId="10956" state="hidden" r:id="rId20"/>
    <sheet name="receivesTx" sheetId="11032" state="hidden" r:id="rId21"/>
  </sheets>
  <externalReferences>
    <externalReference r:id="rId22"/>
  </externalReferences>
  <definedNames>
    <definedName name="IncCCD1">'Scenario Inputs'!$G$61</definedName>
    <definedName name="IncCCD2">'Scenario Inputs'!$G$62</definedName>
    <definedName name="IncCCD3">'Scenario Inputs'!$G$63</definedName>
    <definedName name="IncCCD4">'Scenario Inputs'!$G$64</definedName>
    <definedName name="IncCCD5">'Scenario Inputs'!$G$65</definedName>
    <definedName name="IncCCD6">'Scenario Inputs'!$G$66</definedName>
    <definedName name="IncHHD" localSheetId="7">'Cost Inputs'!#REF!</definedName>
    <definedName name="IncHHD">'Scenario Inputs'!$G$49</definedName>
    <definedName name="IncLP">'Scenario Inputs'!$G$67</definedName>
    <definedName name="IncPD">'Scenario Inputs'!$G$52</definedName>
    <definedName name="IncPEcad">'Scenario Inputs'!$G$97</definedName>
    <definedName name="IncPElive">'Scenario Inputs'!$G$94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7" i="11027" l="1"/>
  <c r="D107" i="11027"/>
  <c r="E107" i="11027"/>
  <c r="F107" i="11027"/>
  <c r="C108" i="11027"/>
  <c r="C116" i="11027" s="1"/>
  <c r="D108" i="11027"/>
  <c r="E108" i="11027"/>
  <c r="F108" i="11027"/>
  <c r="C109" i="11027"/>
  <c r="D109" i="11027"/>
  <c r="E109" i="11027"/>
  <c r="F109" i="11027"/>
  <c r="C110" i="11027"/>
  <c r="D110" i="11027"/>
  <c r="D118" i="11027" s="1"/>
  <c r="E110" i="11027"/>
  <c r="E118" i="11027" s="1"/>
  <c r="F110" i="11027"/>
  <c r="F118" i="11027" s="1"/>
  <c r="H110" i="11027"/>
  <c r="H118" i="11027" s="1"/>
  <c r="J110" i="11027"/>
  <c r="K110" i="11027"/>
  <c r="L110" i="11027"/>
  <c r="L118" i="11027" s="1"/>
  <c r="C111" i="11027"/>
  <c r="C119" i="11027" s="1"/>
  <c r="D111" i="11027"/>
  <c r="E111" i="11027"/>
  <c r="E119" i="11027" s="1"/>
  <c r="F111" i="11027"/>
  <c r="F119" i="11027" s="1"/>
  <c r="D106" i="11027"/>
  <c r="D114" i="11027" s="1"/>
  <c r="E106" i="11027"/>
  <c r="E114" i="11027" s="1"/>
  <c r="F106" i="11027"/>
  <c r="F114" i="11027" s="1"/>
  <c r="C106" i="11027"/>
  <c r="C115" i="11027"/>
  <c r="D115" i="11027"/>
  <c r="E115" i="11027"/>
  <c r="F115" i="11027"/>
  <c r="D116" i="11027"/>
  <c r="E116" i="11027"/>
  <c r="F116" i="11027"/>
  <c r="C117" i="11027"/>
  <c r="D117" i="11027"/>
  <c r="E117" i="11027"/>
  <c r="F117" i="11027"/>
  <c r="C118" i="11027"/>
  <c r="D119" i="11027"/>
  <c r="C114" i="11027"/>
  <c r="AE127" i="11027"/>
  <c r="AD127" i="11027"/>
  <c r="AC127" i="11027"/>
  <c r="AB127" i="11027"/>
  <c r="AA127" i="11027"/>
  <c r="Z127" i="11027"/>
  <c r="Y127" i="11027"/>
  <c r="I111" i="11027" s="1"/>
  <c r="I119" i="11027" s="1"/>
  <c r="X127" i="11027"/>
  <c r="W127" i="11027"/>
  <c r="G111" i="11027" s="1"/>
  <c r="G119" i="11027" s="1"/>
  <c r="V127" i="11027"/>
  <c r="U127" i="11027"/>
  <c r="T127" i="11027"/>
  <c r="S127" i="11027"/>
  <c r="O127" i="11027"/>
  <c r="O111" i="11027" s="1"/>
  <c r="O119" i="11027" s="1"/>
  <c r="N127" i="11027"/>
  <c r="N111" i="11027" s="1"/>
  <c r="N119" i="11027" s="1"/>
  <c r="M127" i="11027"/>
  <c r="L127" i="11027"/>
  <c r="L111" i="11027" s="1"/>
  <c r="L119" i="11027" s="1"/>
  <c r="K127" i="11027"/>
  <c r="K111" i="11027" s="1"/>
  <c r="K119" i="11027" s="1"/>
  <c r="J127" i="11027"/>
  <c r="J111" i="11027" s="1"/>
  <c r="J119" i="11027" s="1"/>
  <c r="I127" i="11027"/>
  <c r="H127" i="11027"/>
  <c r="G127" i="11027"/>
  <c r="F127" i="11027"/>
  <c r="E127" i="11027"/>
  <c r="D127" i="11027"/>
  <c r="C127" i="11027"/>
  <c r="AE126" i="11027"/>
  <c r="AD126" i="11027"/>
  <c r="AC126" i="11027"/>
  <c r="AB126" i="11027"/>
  <c r="AA126" i="11027"/>
  <c r="Z126" i="11027"/>
  <c r="Y126" i="11027"/>
  <c r="I110" i="11027" s="1"/>
  <c r="X126" i="11027"/>
  <c r="W126" i="11027"/>
  <c r="V126" i="11027"/>
  <c r="U126" i="11027"/>
  <c r="T126" i="11027"/>
  <c r="S126" i="11027"/>
  <c r="O126" i="11027"/>
  <c r="O110" i="11027" s="1"/>
  <c r="N126" i="11027"/>
  <c r="N110" i="11027" s="1"/>
  <c r="M126" i="11027"/>
  <c r="M110" i="11027" s="1"/>
  <c r="M118" i="11027" s="1"/>
  <c r="L126" i="11027"/>
  <c r="K126" i="11027"/>
  <c r="J126" i="11027"/>
  <c r="I126" i="11027"/>
  <c r="H126" i="11027"/>
  <c r="G126" i="11027"/>
  <c r="F126" i="11027"/>
  <c r="E126" i="11027"/>
  <c r="D126" i="11027"/>
  <c r="C126" i="11027"/>
  <c r="AE125" i="11027"/>
  <c r="AD125" i="11027"/>
  <c r="AC125" i="11027"/>
  <c r="AB125" i="11027"/>
  <c r="AA125" i="11027"/>
  <c r="Z125" i="11027"/>
  <c r="Y125" i="11027"/>
  <c r="I109" i="11027" s="1"/>
  <c r="I117" i="11027" s="1"/>
  <c r="X125" i="11027"/>
  <c r="H109" i="11027" s="1"/>
  <c r="H117" i="11027" s="1"/>
  <c r="W125" i="11027"/>
  <c r="G109" i="11027" s="1"/>
  <c r="V125" i="11027"/>
  <c r="U125" i="11027"/>
  <c r="T125" i="11027"/>
  <c r="S125" i="11027"/>
  <c r="S128" i="11027" s="1" a="1"/>
  <c r="S128" i="11027" s="1"/>
  <c r="I81" i="10983" s="1"/>
  <c r="O125" i="11027"/>
  <c r="N125" i="11027"/>
  <c r="M125" i="11027"/>
  <c r="L125" i="11027"/>
  <c r="K125" i="11027"/>
  <c r="J125" i="11027"/>
  <c r="I125" i="11027"/>
  <c r="H125" i="11027"/>
  <c r="G125" i="11027"/>
  <c r="F125" i="11027"/>
  <c r="E125" i="11027"/>
  <c r="D125" i="11027"/>
  <c r="C125" i="11027"/>
  <c r="AE124" i="11027"/>
  <c r="O108" i="11027" s="1"/>
  <c r="O116" i="11027" s="1"/>
  <c r="AD124" i="11027"/>
  <c r="N108" i="11027" s="1"/>
  <c r="N116" i="11027" s="1"/>
  <c r="AC124" i="11027"/>
  <c r="M108" i="11027" s="1"/>
  <c r="M116" i="11027" s="1"/>
  <c r="AB124" i="11027"/>
  <c r="L108" i="11027" s="1"/>
  <c r="L116" i="11027" s="1"/>
  <c r="AA124" i="11027"/>
  <c r="K108" i="11027" s="1"/>
  <c r="K116" i="11027" s="1"/>
  <c r="Z124" i="11027"/>
  <c r="Y124" i="11027"/>
  <c r="X124" i="11027"/>
  <c r="W124" i="11027"/>
  <c r="V124" i="11027"/>
  <c r="U124" i="11027"/>
  <c r="T124" i="11027"/>
  <c r="S124" i="11027"/>
  <c r="O124" i="11027"/>
  <c r="N124" i="11027"/>
  <c r="M124" i="11027"/>
  <c r="L124" i="11027"/>
  <c r="K124" i="11027"/>
  <c r="J124" i="11027"/>
  <c r="I124" i="11027"/>
  <c r="H124" i="11027"/>
  <c r="G124" i="11027"/>
  <c r="F124" i="11027"/>
  <c r="E124" i="11027"/>
  <c r="D124" i="11027"/>
  <c r="C124" i="11027"/>
  <c r="AE123" i="11027"/>
  <c r="AD123" i="11027"/>
  <c r="AC123" i="11027"/>
  <c r="AC128" i="11027" s="1" a="1"/>
  <c r="AC128" i="11027" s="1"/>
  <c r="S81" i="10983" s="1"/>
  <c r="AB123" i="11027"/>
  <c r="AB128" i="11027" s="1" a="1"/>
  <c r="AB128" i="11027" s="1"/>
  <c r="R81" i="10983" s="1"/>
  <c r="AA123" i="11027"/>
  <c r="Z123" i="11027"/>
  <c r="Y123" i="11027"/>
  <c r="X123" i="11027"/>
  <c r="W123" i="11027"/>
  <c r="V123" i="11027"/>
  <c r="U123" i="11027"/>
  <c r="T123" i="11027"/>
  <c r="S123" i="11027"/>
  <c r="O123" i="11027"/>
  <c r="N123" i="11027"/>
  <c r="M123" i="11027"/>
  <c r="L123" i="11027"/>
  <c r="K123" i="11027"/>
  <c r="K107" i="11027" s="1"/>
  <c r="J123" i="11027"/>
  <c r="J107" i="11027" s="1"/>
  <c r="I123" i="11027"/>
  <c r="I107" i="11027" s="1"/>
  <c r="H123" i="11027"/>
  <c r="H107" i="11027" s="1"/>
  <c r="G123" i="11027"/>
  <c r="F123" i="11027"/>
  <c r="E123" i="11027"/>
  <c r="D123" i="11027"/>
  <c r="C123" i="11027"/>
  <c r="C128" i="11027" s="1" a="1"/>
  <c r="C128" i="11027" s="1"/>
  <c r="AE122" i="11027"/>
  <c r="AD122" i="11027"/>
  <c r="AC122" i="11027"/>
  <c r="AB122" i="11027"/>
  <c r="AA122" i="11027"/>
  <c r="Z122" i="11027"/>
  <c r="Y122" i="11027"/>
  <c r="X122" i="11027"/>
  <c r="W122" i="11027"/>
  <c r="V122" i="11027"/>
  <c r="V128" i="11027" s="1" a="1"/>
  <c r="V128" i="11027" s="1"/>
  <c r="L81" i="10983" s="1"/>
  <c r="U122" i="11027"/>
  <c r="U128" i="11027" s="1" a="1"/>
  <c r="U128" i="11027" s="1"/>
  <c r="K81" i="10983" s="1"/>
  <c r="T122" i="11027"/>
  <c r="S122" i="11027"/>
  <c r="O122" i="11027"/>
  <c r="O106" i="11027" s="1"/>
  <c r="N122" i="11027"/>
  <c r="M122" i="11027"/>
  <c r="L122" i="11027"/>
  <c r="K122" i="11027"/>
  <c r="J122" i="11027"/>
  <c r="I122" i="11027"/>
  <c r="H122" i="11027"/>
  <c r="H106" i="11027" s="1"/>
  <c r="H114" i="11027" s="1"/>
  <c r="G122" i="11027"/>
  <c r="F122" i="11027"/>
  <c r="F128" i="11027" s="1" a="1"/>
  <c r="F128" i="11027" s="1"/>
  <c r="E122" i="11027"/>
  <c r="E128" i="11027" s="1" a="1"/>
  <c r="E128" i="11027" s="1"/>
  <c r="D122" i="11027"/>
  <c r="C122" i="11027"/>
  <c r="J84" i="10983"/>
  <c r="K84" i="10983"/>
  <c r="L84" i="10983"/>
  <c r="M84" i="10983"/>
  <c r="N84" i="10983"/>
  <c r="O84" i="10983"/>
  <c r="P84" i="10983"/>
  <c r="Q84" i="10983"/>
  <c r="R84" i="10983"/>
  <c r="S84" i="10983"/>
  <c r="T84" i="10983"/>
  <c r="U84" i="10983"/>
  <c r="I84" i="10983"/>
  <c r="G82" i="10983"/>
  <c r="G79" i="10983"/>
  <c r="G76" i="10983"/>
  <c r="R126" i="11027"/>
  <c r="B126" i="11027"/>
  <c r="R125" i="11027"/>
  <c r="B125" i="11027"/>
  <c r="R124" i="11027"/>
  <c r="B124" i="11027"/>
  <c r="R123" i="11027"/>
  <c r="B123" i="11027"/>
  <c r="R122" i="11027"/>
  <c r="D128" i="11027" a="1"/>
  <c r="D128" i="11027" s="1"/>
  <c r="B122" i="11027"/>
  <c r="B118" i="11027"/>
  <c r="B117" i="11027"/>
  <c r="B97" i="11027"/>
  <c r="B114" i="11027" s="1"/>
  <c r="C97" i="11027"/>
  <c r="B98" i="11027"/>
  <c r="B115" i="11027" s="1"/>
  <c r="C98" i="11027"/>
  <c r="B99" i="11027"/>
  <c r="B116" i="11027" s="1"/>
  <c r="C99" i="11027"/>
  <c r="B100" i="11027"/>
  <c r="C100" i="11027"/>
  <c r="B101" i="11027"/>
  <c r="C101" i="11027"/>
  <c r="B102" i="11027"/>
  <c r="B119" i="11027" s="1"/>
  <c r="C102" i="11027"/>
  <c r="B2" i="11027"/>
  <c r="E2" i="11027"/>
  <c r="G2" i="11027"/>
  <c r="B5" i="11027"/>
  <c r="C5" i="11027"/>
  <c r="D5" i="11027"/>
  <c r="E5" i="11027"/>
  <c r="F5" i="11027"/>
  <c r="G5" i="11027"/>
  <c r="H5" i="11027"/>
  <c r="I5" i="11027"/>
  <c r="J5" i="11027"/>
  <c r="K5" i="11027"/>
  <c r="L5" i="11027"/>
  <c r="M5" i="11027"/>
  <c r="N5" i="11027"/>
  <c r="B6" i="11027"/>
  <c r="C6" i="11027"/>
  <c r="D6" i="11027"/>
  <c r="E6" i="11027"/>
  <c r="F6" i="11027"/>
  <c r="G6" i="11027"/>
  <c r="H6" i="11027"/>
  <c r="I6" i="11027"/>
  <c r="J6" i="11027"/>
  <c r="K6" i="11027"/>
  <c r="L6" i="11027"/>
  <c r="M6" i="11027"/>
  <c r="N6" i="11027"/>
  <c r="B8" i="11027"/>
  <c r="C8" i="11027"/>
  <c r="D8" i="11027"/>
  <c r="E8" i="11027"/>
  <c r="F8" i="11027"/>
  <c r="G8" i="11027"/>
  <c r="B11" i="11027"/>
  <c r="C11" i="11027"/>
  <c r="D11" i="11027"/>
  <c r="F11" i="11027"/>
  <c r="I11" i="11027"/>
  <c r="J11" i="11027"/>
  <c r="B12" i="11027"/>
  <c r="C12" i="11027"/>
  <c r="D12" i="11027"/>
  <c r="E12" i="11027"/>
  <c r="E11" i="11027" s="1"/>
  <c r="F12" i="11027"/>
  <c r="G12" i="11027"/>
  <c r="G11" i="11027" s="1"/>
  <c r="H12" i="11027"/>
  <c r="H11" i="11027" s="1"/>
  <c r="I12" i="11027"/>
  <c r="J12" i="11027"/>
  <c r="K12" i="11027"/>
  <c r="K11" i="11027" s="1"/>
  <c r="L12" i="11027"/>
  <c r="L11" i="11027" s="1"/>
  <c r="M12" i="11027"/>
  <c r="M11" i="11027" s="1"/>
  <c r="N12" i="11027"/>
  <c r="N11" i="11027" s="1"/>
  <c r="B17" i="11027" a="1"/>
  <c r="B17" i="11027" s="1"/>
  <c r="H72" i="11027" s="1"/>
  <c r="C17" i="11027" a="1"/>
  <c r="C17" i="11027"/>
  <c r="K71" i="11027" s="1"/>
  <c r="D17" i="11027" a="1"/>
  <c r="D17" i="11027" s="1"/>
  <c r="E17" i="11027" a="1"/>
  <c r="E17" i="11027"/>
  <c r="Q74" i="11027" s="1"/>
  <c r="F17" i="11027" a="1"/>
  <c r="F17" i="11027"/>
  <c r="T72" i="11027" s="1"/>
  <c r="G17" i="11027" a="1"/>
  <c r="G17" i="11027" s="1"/>
  <c r="H17" i="11027" a="1"/>
  <c r="H17" i="11027"/>
  <c r="Z71" i="11027" s="1"/>
  <c r="I17" i="11027" a="1"/>
  <c r="I17" i="11027"/>
  <c r="J17" i="11027" a="1"/>
  <c r="J17" i="11027" s="1"/>
  <c r="K17" i="11027" a="1"/>
  <c r="K17" i="11027"/>
  <c r="AI73" i="11027" s="1"/>
  <c r="L17" i="11027" a="1"/>
  <c r="L17" i="11027"/>
  <c r="AL71" i="11027" s="1"/>
  <c r="M17" i="11027" a="1"/>
  <c r="M17" i="11027" s="1"/>
  <c r="AO75" i="11027" s="1"/>
  <c r="N17" i="11027" a="1"/>
  <c r="N17" i="11027"/>
  <c r="AR76" i="11027" s="1"/>
  <c r="B21" i="11027"/>
  <c r="C21" i="11027"/>
  <c r="D21" i="11027"/>
  <c r="E21" i="11027"/>
  <c r="F21" i="11027"/>
  <c r="G21" i="11027"/>
  <c r="H21" i="11027"/>
  <c r="I21" i="11027"/>
  <c r="J21" i="11027"/>
  <c r="K21" i="11027"/>
  <c r="L21" i="11027"/>
  <c r="M21" i="11027"/>
  <c r="N21" i="11027"/>
  <c r="B22" i="11027"/>
  <c r="C22" i="11027"/>
  <c r="D22" i="11027"/>
  <c r="E22" i="11027"/>
  <c r="F22" i="11027"/>
  <c r="G22" i="11027"/>
  <c r="H22" i="11027"/>
  <c r="I22" i="11027"/>
  <c r="J22" i="11027"/>
  <c r="K22" i="11027"/>
  <c r="L22" i="11027"/>
  <c r="M22" i="11027"/>
  <c r="N22" i="11027"/>
  <c r="B23" i="11027"/>
  <c r="C23" i="11027"/>
  <c r="D23" i="11027"/>
  <c r="E23" i="11027"/>
  <c r="F23" i="11027"/>
  <c r="G23" i="11027"/>
  <c r="H23" i="11027"/>
  <c r="I23" i="11027"/>
  <c r="J23" i="11027"/>
  <c r="K23" i="11027"/>
  <c r="L23" i="11027"/>
  <c r="M23" i="11027"/>
  <c r="N23" i="11027"/>
  <c r="B24" i="11027"/>
  <c r="C24" i="11027"/>
  <c r="D24" i="11027"/>
  <c r="E24" i="11027"/>
  <c r="F24" i="11027"/>
  <c r="G24" i="11027"/>
  <c r="H24" i="11027"/>
  <c r="I24" i="11027"/>
  <c r="J24" i="11027"/>
  <c r="K24" i="11027"/>
  <c r="L24" i="11027"/>
  <c r="M24" i="11027"/>
  <c r="N24" i="11027"/>
  <c r="B25" i="11027"/>
  <c r="C25" i="11027"/>
  <c r="D25" i="11027"/>
  <c r="E25" i="11027"/>
  <c r="F25" i="11027"/>
  <c r="G25" i="11027"/>
  <c r="H25" i="11027"/>
  <c r="I25" i="11027"/>
  <c r="J25" i="11027"/>
  <c r="K25" i="11027"/>
  <c r="L25" i="11027"/>
  <c r="M25" i="11027"/>
  <c r="N25" i="11027"/>
  <c r="B26" i="11027"/>
  <c r="C26" i="11027"/>
  <c r="D26" i="11027"/>
  <c r="E26" i="11027"/>
  <c r="F26" i="11027"/>
  <c r="G26" i="11027"/>
  <c r="H26" i="11027"/>
  <c r="I26" i="11027"/>
  <c r="J26" i="11027"/>
  <c r="K26" i="11027"/>
  <c r="L26" i="11027"/>
  <c r="M26" i="11027"/>
  <c r="N26" i="11027"/>
  <c r="B27" i="11027"/>
  <c r="C27" i="11027"/>
  <c r="D27" i="11027"/>
  <c r="E27" i="11027"/>
  <c r="F27" i="11027"/>
  <c r="G27" i="11027"/>
  <c r="H27" i="11027"/>
  <c r="I27" i="11027"/>
  <c r="J27" i="11027"/>
  <c r="K27" i="11027"/>
  <c r="L27" i="11027"/>
  <c r="M27" i="11027"/>
  <c r="N27" i="11027"/>
  <c r="B33" i="11027"/>
  <c r="C33" i="11027"/>
  <c r="D33" i="11027"/>
  <c r="E33" i="11027"/>
  <c r="F33" i="11027"/>
  <c r="G33" i="11027"/>
  <c r="H33" i="11027"/>
  <c r="I33" i="11027"/>
  <c r="J33" i="11027"/>
  <c r="K33" i="11027"/>
  <c r="L33" i="11027"/>
  <c r="M33" i="11027"/>
  <c r="N33" i="11027"/>
  <c r="O33" i="11027"/>
  <c r="B34" i="11027"/>
  <c r="C34" i="11027"/>
  <c r="D34" i="11027"/>
  <c r="E34" i="11027"/>
  <c r="F34" i="11027"/>
  <c r="G34" i="11027"/>
  <c r="H34" i="11027"/>
  <c r="I34" i="11027"/>
  <c r="J34" i="11027"/>
  <c r="K34" i="11027"/>
  <c r="L34" i="11027"/>
  <c r="M34" i="11027"/>
  <c r="N34" i="11027"/>
  <c r="O34" i="11027"/>
  <c r="B38" i="11027"/>
  <c r="B39" i="11027"/>
  <c r="B40" i="11027"/>
  <c r="B41" i="11027"/>
  <c r="C44" i="11027"/>
  <c r="D44" i="11027"/>
  <c r="E44" i="11027"/>
  <c r="F44" i="11027"/>
  <c r="G44" i="11027"/>
  <c r="H44" i="11027"/>
  <c r="I44" i="11027"/>
  <c r="J44" i="11027"/>
  <c r="K44" i="11027"/>
  <c r="L44" i="11027"/>
  <c r="M44" i="11027"/>
  <c r="N44" i="11027"/>
  <c r="O44" i="11027"/>
  <c r="P44" i="11027"/>
  <c r="Q44" i="11027"/>
  <c r="R44" i="11027"/>
  <c r="S44" i="11027"/>
  <c r="T44" i="11027"/>
  <c r="U44" i="11027"/>
  <c r="V44" i="11027"/>
  <c r="W44" i="11027"/>
  <c r="X44" i="11027"/>
  <c r="Y44" i="11027"/>
  <c r="Z44" i="11027"/>
  <c r="AA44" i="11027"/>
  <c r="AB44" i="11027"/>
  <c r="B49" i="11027"/>
  <c r="C49" i="11027"/>
  <c r="F49" i="11027"/>
  <c r="G49" i="11027"/>
  <c r="I49" i="11027"/>
  <c r="P49" i="11027" s="1"/>
  <c r="J49" i="11027"/>
  <c r="B50" i="11027"/>
  <c r="C50" i="11027"/>
  <c r="F50" i="11027"/>
  <c r="I50" i="11027" s="1"/>
  <c r="G50" i="11027"/>
  <c r="B51" i="11027"/>
  <c r="C51" i="11027"/>
  <c r="F51" i="11027"/>
  <c r="I51" i="11027" s="1"/>
  <c r="G51" i="11027"/>
  <c r="B52" i="11027"/>
  <c r="C52" i="11027"/>
  <c r="F52" i="11027"/>
  <c r="G52" i="11027"/>
  <c r="I52" i="11027"/>
  <c r="B109" i="11027" s="1"/>
  <c r="N52" i="11027"/>
  <c r="O52" i="11027"/>
  <c r="B53" i="11027"/>
  <c r="C53" i="11027"/>
  <c r="F53" i="11027"/>
  <c r="I53" i="11027" s="1"/>
  <c r="G53" i="11027"/>
  <c r="B54" i="11027"/>
  <c r="C54" i="11027"/>
  <c r="F54" i="11027"/>
  <c r="G54" i="11027"/>
  <c r="I54" i="11027"/>
  <c r="M54" i="11027" s="1"/>
  <c r="J54" i="11027"/>
  <c r="K54" i="11027"/>
  <c r="L54" i="11027"/>
  <c r="AI57" i="11027"/>
  <c r="AU57" i="11027" s="1"/>
  <c r="AJ57" i="11027"/>
  <c r="C57" i="11027" s="1"/>
  <c r="AK57" i="11027"/>
  <c r="T57" i="11027" s="1"/>
  <c r="AL57" i="11027"/>
  <c r="U57" i="11027" s="1"/>
  <c r="AM57" i="11027"/>
  <c r="V57" i="11027" s="1"/>
  <c r="AS57" i="11027"/>
  <c r="AB57" i="11027" s="1"/>
  <c r="AT57" i="11027"/>
  <c r="AC57" i="11027" s="1"/>
  <c r="AI58" i="11027"/>
  <c r="AN58" i="11027"/>
  <c r="G58" i="11027" s="1"/>
  <c r="AS58" i="11027"/>
  <c r="AB58" i="11027" s="1"/>
  <c r="AT58" i="11027"/>
  <c r="AU58" i="11027"/>
  <c r="N58" i="11027" s="1"/>
  <c r="AI59" i="11027"/>
  <c r="AK59" i="11027"/>
  <c r="T59" i="11027" s="1"/>
  <c r="AL59" i="11027"/>
  <c r="U59" i="11027" s="1"/>
  <c r="AM59" i="11027"/>
  <c r="F59" i="11027" s="1"/>
  <c r="AN59" i="11027"/>
  <c r="AO59" i="11027"/>
  <c r="AU59" i="11027"/>
  <c r="N59" i="11027" s="1"/>
  <c r="AV59" i="11027"/>
  <c r="AE59" i="11027" s="1"/>
  <c r="AI60" i="11027"/>
  <c r="AT60" i="11027"/>
  <c r="AC60" i="11027" s="1"/>
  <c r="AU60" i="11027"/>
  <c r="AD60" i="11027" s="1"/>
  <c r="AV60" i="11027"/>
  <c r="AE60" i="11027" s="1"/>
  <c r="C61" i="11027"/>
  <c r="D61" i="11027"/>
  <c r="AI61" i="11027"/>
  <c r="AJ61" i="11027"/>
  <c r="S61" i="11027" s="1"/>
  <c r="AK61" i="11027"/>
  <c r="T61" i="11027" s="1"/>
  <c r="T62" i="11027"/>
  <c r="AI62" i="11027"/>
  <c r="AK62" i="11027"/>
  <c r="D62" i="11027" s="1"/>
  <c r="AL62" i="11027"/>
  <c r="C63" i="11027"/>
  <c r="S63" i="11027"/>
  <c r="C64" i="11027"/>
  <c r="S64" i="11027"/>
  <c r="C65" i="11027"/>
  <c r="S65" i="11027"/>
  <c r="C66" i="11027"/>
  <c r="S66" i="11027"/>
  <c r="C67" i="11027"/>
  <c r="S67" i="11027"/>
  <c r="C68" i="11027"/>
  <c r="S68" i="11027"/>
  <c r="C71" i="11027"/>
  <c r="D71" i="11027"/>
  <c r="G71" i="11027" s="1"/>
  <c r="E71" i="11027"/>
  <c r="AC71" i="11027"/>
  <c r="AE71" i="11027"/>
  <c r="AI71" i="11027"/>
  <c r="AK71" i="11027"/>
  <c r="C72" i="11027"/>
  <c r="D72" i="11027"/>
  <c r="G72" i="11027" s="1"/>
  <c r="F72" i="11027" s="1"/>
  <c r="E72" i="11027"/>
  <c r="AC72" i="11027"/>
  <c r="AQ72" i="11027"/>
  <c r="C73" i="11027"/>
  <c r="D73" i="11027"/>
  <c r="AH73" i="11027" s="1"/>
  <c r="E73" i="11027"/>
  <c r="AC73" i="11027"/>
  <c r="C74" i="11027"/>
  <c r="D74" i="11027"/>
  <c r="AH74" i="11027" s="1"/>
  <c r="E74" i="11027"/>
  <c r="J74" i="11027"/>
  <c r="M74" i="11027"/>
  <c r="S74" i="11027"/>
  <c r="T74" i="11027"/>
  <c r="Z74" i="11027"/>
  <c r="AC74" i="11027"/>
  <c r="AE74" i="11027"/>
  <c r="C75" i="11027"/>
  <c r="D75" i="11027"/>
  <c r="G75" i="11027" s="1"/>
  <c r="E75" i="11027"/>
  <c r="P75" i="11027"/>
  <c r="Q75" i="11027"/>
  <c r="V75" i="11027"/>
  <c r="Y75" i="11027"/>
  <c r="AC75" i="11027"/>
  <c r="C76" i="11027"/>
  <c r="D76" i="11027"/>
  <c r="G76" i="11027" s="1"/>
  <c r="E76" i="11027"/>
  <c r="AC76" i="11027"/>
  <c r="C77" i="11027"/>
  <c r="D77" i="11027"/>
  <c r="E77" i="11027"/>
  <c r="C78" i="11027"/>
  <c r="D78" i="11027"/>
  <c r="E78" i="11027"/>
  <c r="C79" i="11027"/>
  <c r="D79" i="11027"/>
  <c r="E79" i="11027"/>
  <c r="C80" i="11027"/>
  <c r="D80" i="11027"/>
  <c r="E80" i="11027"/>
  <c r="C81" i="11027"/>
  <c r="D81" i="11027"/>
  <c r="E81" i="11027"/>
  <c r="C82" i="11027"/>
  <c r="D82" i="11027"/>
  <c r="E82" i="11027"/>
  <c r="C83" i="11027"/>
  <c r="D83" i="11027"/>
  <c r="E83" i="11027"/>
  <c r="C84" i="11027"/>
  <c r="D84" i="11027"/>
  <c r="E84" i="11027"/>
  <c r="C85" i="11027"/>
  <c r="D85" i="11027"/>
  <c r="E85" i="11027"/>
  <c r="C86" i="11027"/>
  <c r="D86" i="11027"/>
  <c r="E86" i="11027"/>
  <c r="C87" i="11027"/>
  <c r="D87" i="11027"/>
  <c r="E87" i="11027"/>
  <c r="C88" i="11027"/>
  <c r="D88" i="11027"/>
  <c r="E88" i="11027"/>
  <c r="C89" i="11027"/>
  <c r="D89" i="11027"/>
  <c r="E89" i="11027"/>
  <c r="C90" i="11027"/>
  <c r="D90" i="11027"/>
  <c r="E90" i="11027"/>
  <c r="C91" i="11027"/>
  <c r="D91" i="11027"/>
  <c r="E91" i="11027"/>
  <c r="C92" i="11027"/>
  <c r="D92" i="11027"/>
  <c r="E92" i="11027"/>
  <c r="C93" i="11027"/>
  <c r="D93" i="11027"/>
  <c r="E93" i="11027"/>
  <c r="C94" i="11027"/>
  <c r="D94" i="11027"/>
  <c r="E94" i="11027"/>
  <c r="C132" i="11027"/>
  <c r="D132" i="11027"/>
  <c r="C133" i="11027"/>
  <c r="D133" i="11027"/>
  <c r="C134" i="11027"/>
  <c r="D134" i="11027"/>
  <c r="C135" i="11027"/>
  <c r="D135" i="11027"/>
  <c r="C136" i="11027"/>
  <c r="D136" i="11027"/>
  <c r="C137" i="11027"/>
  <c r="D137" i="11027"/>
  <c r="C138" i="11027"/>
  <c r="D138" i="11027"/>
  <c r="C139" i="11027"/>
  <c r="D139" i="11027"/>
  <c r="C140" i="11027"/>
  <c r="D140" i="11027"/>
  <c r="C141" i="11027"/>
  <c r="D141" i="11027"/>
  <c r="C142" i="11027"/>
  <c r="D142" i="11027"/>
  <c r="C143" i="11027"/>
  <c r="D143" i="11027"/>
  <c r="C146" i="11027"/>
  <c r="D146" i="11027"/>
  <c r="C147" i="11027"/>
  <c r="D147" i="11027"/>
  <c r="C148" i="11027"/>
  <c r="D148" i="11027"/>
  <c r="G157" i="11027" s="1"/>
  <c r="C149" i="11027"/>
  <c r="D149" i="11027"/>
  <c r="C150" i="11027"/>
  <c r="D150" i="11027"/>
  <c r="C151" i="11027"/>
  <c r="D151" i="11027"/>
  <c r="C152" i="11027"/>
  <c r="D152" i="11027"/>
  <c r="C153" i="11027"/>
  <c r="D153" i="11027"/>
  <c r="C154" i="11027"/>
  <c r="D154" i="11027"/>
  <c r="C155" i="11027"/>
  <c r="D155" i="11027"/>
  <c r="C156" i="11027"/>
  <c r="D156" i="11027"/>
  <c r="C157" i="11027"/>
  <c r="D157" i="11027"/>
  <c r="C160" i="11027"/>
  <c r="D160" i="11027"/>
  <c r="C161" i="11027"/>
  <c r="D161" i="11027"/>
  <c r="C162" i="11027"/>
  <c r="D162" i="11027"/>
  <c r="C163" i="11027"/>
  <c r="D163" i="11027"/>
  <c r="C164" i="11027"/>
  <c r="D164" i="11027"/>
  <c r="C165" i="11027"/>
  <c r="D165" i="11027"/>
  <c r="C166" i="11027"/>
  <c r="D166" i="11027"/>
  <c r="C167" i="11027"/>
  <c r="D167" i="11027"/>
  <c r="C168" i="11027"/>
  <c r="D168" i="11027"/>
  <c r="C169" i="11027"/>
  <c r="D169" i="11027"/>
  <c r="C170" i="11027"/>
  <c r="D170" i="11027"/>
  <c r="C171" i="11027"/>
  <c r="D171" i="11027"/>
  <c r="C174" i="11027"/>
  <c r="F185" i="11027" s="1"/>
  <c r="D174" i="11027"/>
  <c r="C175" i="11027"/>
  <c r="D175" i="11027"/>
  <c r="C176" i="11027"/>
  <c r="D176" i="11027"/>
  <c r="C177" i="11027"/>
  <c r="D177" i="11027"/>
  <c r="C178" i="11027"/>
  <c r="D178" i="11027"/>
  <c r="C179" i="11027"/>
  <c r="D179" i="11027"/>
  <c r="C180" i="11027"/>
  <c r="D180" i="11027"/>
  <c r="C181" i="11027"/>
  <c r="D181" i="11027"/>
  <c r="C182" i="11027"/>
  <c r="D182" i="11027"/>
  <c r="C183" i="11027"/>
  <c r="D183" i="11027"/>
  <c r="C184" i="11027"/>
  <c r="D184" i="11027"/>
  <c r="C185" i="11027"/>
  <c r="D185" i="11027"/>
  <c r="C188" i="11027"/>
  <c r="D188" i="11027"/>
  <c r="C189" i="11027"/>
  <c r="D189" i="11027"/>
  <c r="C190" i="11027"/>
  <c r="D190" i="11027"/>
  <c r="G199" i="11027" s="1"/>
  <c r="C191" i="11027"/>
  <c r="D191" i="11027"/>
  <c r="C192" i="11027"/>
  <c r="D192" i="11027"/>
  <c r="C193" i="11027"/>
  <c r="D193" i="11027"/>
  <c r="C194" i="11027"/>
  <c r="D194" i="11027"/>
  <c r="C195" i="11027"/>
  <c r="D195" i="11027"/>
  <c r="C196" i="11027"/>
  <c r="D196" i="11027"/>
  <c r="C197" i="11027"/>
  <c r="D197" i="11027"/>
  <c r="C198" i="11027"/>
  <c r="D198" i="11027"/>
  <c r="C199" i="11027"/>
  <c r="D199" i="11027"/>
  <c r="C202" i="11027"/>
  <c r="D202" i="11027"/>
  <c r="C203" i="11027"/>
  <c r="D203" i="11027"/>
  <c r="C204" i="11027"/>
  <c r="D204" i="11027"/>
  <c r="C205" i="11027"/>
  <c r="D205" i="11027"/>
  <c r="C206" i="11027"/>
  <c r="D206" i="11027"/>
  <c r="C207" i="11027"/>
  <c r="D207" i="11027"/>
  <c r="C208" i="11027"/>
  <c r="D208" i="11027"/>
  <c r="C209" i="11027"/>
  <c r="D209" i="11027"/>
  <c r="C210" i="11027"/>
  <c r="D210" i="11027"/>
  <c r="C211" i="11027"/>
  <c r="D211" i="11027"/>
  <c r="C212" i="11027"/>
  <c r="D212" i="11027"/>
  <c r="C213" i="11027"/>
  <c r="D213" i="11027"/>
  <c r="A216" i="11027"/>
  <c r="B216" i="11027"/>
  <c r="C216" i="11027"/>
  <c r="D216" i="11027"/>
  <c r="E216" i="11027"/>
  <c r="F216" i="11027"/>
  <c r="G216" i="11027"/>
  <c r="I216" i="11027"/>
  <c r="K216" i="11027"/>
  <c r="M216" i="11027"/>
  <c r="N216" i="11027"/>
  <c r="O216" i="11027"/>
  <c r="P216" i="11027"/>
  <c r="A218" i="11027"/>
  <c r="A219" i="11027"/>
  <c r="A220" i="11027"/>
  <c r="A221" i="11027"/>
  <c r="A222" i="11027"/>
  <c r="A223" i="11027"/>
  <c r="A224" i="11027"/>
  <c r="A225" i="11027"/>
  <c r="A226" i="11027"/>
  <c r="A227" i="11027"/>
  <c r="A228" i="11027"/>
  <c r="A229" i="11027"/>
  <c r="U83" i="10983"/>
  <c r="T83" i="10983"/>
  <c r="S83" i="10983"/>
  <c r="R83" i="10983"/>
  <c r="Q83" i="10983"/>
  <c r="P83" i="10983"/>
  <c r="O83" i="10983"/>
  <c r="N83" i="10983"/>
  <c r="M83" i="10983"/>
  <c r="L83" i="10983"/>
  <c r="Q80" i="10983"/>
  <c r="U77" i="10983"/>
  <c r="Y128" i="11027" l="1" a="1"/>
  <c r="Y128" i="11027" s="1"/>
  <c r="O81" i="10983" s="1"/>
  <c r="G110" i="11027"/>
  <c r="G118" i="11027" s="1"/>
  <c r="X128" i="11027" a="1"/>
  <c r="X128" i="11027" s="1"/>
  <c r="N81" i="10983" s="1"/>
  <c r="L109" i="11027"/>
  <c r="L117" i="11027" s="1"/>
  <c r="L107" i="11027"/>
  <c r="L115" i="11027" s="1"/>
  <c r="H108" i="11027"/>
  <c r="H116" i="11027" s="1"/>
  <c r="M107" i="11027"/>
  <c r="M115" i="11027" s="1"/>
  <c r="I108" i="11027"/>
  <c r="I116" i="11027" s="1"/>
  <c r="N107" i="11027"/>
  <c r="N115" i="11027" s="1"/>
  <c r="J108" i="11027"/>
  <c r="J116" i="11027" s="1"/>
  <c r="O107" i="11027"/>
  <c r="O115" i="11027" s="1"/>
  <c r="J109" i="11027"/>
  <c r="J117" i="11027" s="1"/>
  <c r="K109" i="11027"/>
  <c r="K117" i="11027" s="1"/>
  <c r="N109" i="11027"/>
  <c r="N117" i="11027" s="1"/>
  <c r="AD128" i="11027" a="1"/>
  <c r="AD128" i="11027" s="1"/>
  <c r="T81" i="10983" s="1"/>
  <c r="Z128" i="11027" a="1"/>
  <c r="Z128" i="11027" s="1"/>
  <c r="P81" i="10983" s="1"/>
  <c r="AE128" i="11027" a="1"/>
  <c r="AE128" i="11027" s="1"/>
  <c r="U81" i="10983" s="1"/>
  <c r="AA128" i="11027" a="1"/>
  <c r="AA128" i="11027" s="1"/>
  <c r="Q81" i="10983" s="1"/>
  <c r="H111" i="11027"/>
  <c r="H119" i="11027" s="1"/>
  <c r="G106" i="11027"/>
  <c r="G114" i="11027" s="1"/>
  <c r="G108" i="11027"/>
  <c r="G116" i="11027" s="1"/>
  <c r="N118" i="11027"/>
  <c r="J128" i="11027" a="1"/>
  <c r="J128" i="11027" s="1"/>
  <c r="P78" i="10983" s="1"/>
  <c r="K128" i="11027" a="1"/>
  <c r="K128" i="11027" s="1"/>
  <c r="Q78" i="10983" s="1"/>
  <c r="M128" i="11027" a="1"/>
  <c r="M128" i="11027" s="1"/>
  <c r="S78" i="10983" s="1"/>
  <c r="G117" i="11027"/>
  <c r="I118" i="11027"/>
  <c r="J118" i="11027"/>
  <c r="K118" i="11027"/>
  <c r="L128" i="11027" a="1"/>
  <c r="L128" i="11027" s="1"/>
  <c r="R78" i="10983" s="1"/>
  <c r="N128" i="11027" a="1"/>
  <c r="N128" i="11027" s="1"/>
  <c r="T78" i="10983" s="1"/>
  <c r="O128" i="11027" a="1"/>
  <c r="O128" i="11027" s="1"/>
  <c r="U78" i="10983" s="1"/>
  <c r="O118" i="11027"/>
  <c r="K115" i="11027"/>
  <c r="J115" i="11027"/>
  <c r="M111" i="11027"/>
  <c r="M119" i="11027" s="1"/>
  <c r="I115" i="11027"/>
  <c r="H115" i="11027"/>
  <c r="O109" i="11027"/>
  <c r="O117" i="11027" s="1"/>
  <c r="M109" i="11027"/>
  <c r="M117" i="11027" s="1"/>
  <c r="N106" i="11027"/>
  <c r="N114" i="11027" s="1"/>
  <c r="M106" i="11027"/>
  <c r="M114" i="11027" s="1"/>
  <c r="L106" i="11027"/>
  <c r="L114" i="11027" s="1"/>
  <c r="K106" i="11027"/>
  <c r="K114" i="11027" s="1"/>
  <c r="H128" i="11027" a="1"/>
  <c r="H128" i="11027" s="1"/>
  <c r="N78" i="10983" s="1"/>
  <c r="O114" i="11027"/>
  <c r="J106" i="11027"/>
  <c r="J114" i="11027" s="1"/>
  <c r="I128" i="11027" a="1"/>
  <c r="I128" i="11027" s="1"/>
  <c r="O78" i="10983" s="1"/>
  <c r="I106" i="11027"/>
  <c r="I114" i="11027" s="1"/>
  <c r="G107" i="11027"/>
  <c r="G115" i="11027" s="1"/>
  <c r="G128" i="11027" a="1"/>
  <c r="G128" i="11027" s="1"/>
  <c r="M78" i="10983"/>
  <c r="K78" i="10983"/>
  <c r="L78" i="10983"/>
  <c r="W128" i="11027" a="1"/>
  <c r="W128" i="11027" s="1"/>
  <c r="M81" i="10983" s="1"/>
  <c r="T128" i="11027" a="1"/>
  <c r="T128" i="11027" s="1"/>
  <c r="J81" i="10983" s="1"/>
  <c r="J78" i="10983"/>
  <c r="I78" i="10983"/>
  <c r="B111" i="11027"/>
  <c r="B127" i="11027" s="1"/>
  <c r="B128" i="11027" s="1" a="1"/>
  <c r="B128" i="11027" s="1"/>
  <c r="R50" i="11027"/>
  <c r="F98" i="11027"/>
  <c r="J50" i="11027"/>
  <c r="K50" i="11027"/>
  <c r="L50" i="11027"/>
  <c r="B107" i="11027"/>
  <c r="S50" i="11027"/>
  <c r="F76" i="11027"/>
  <c r="N71" i="11027"/>
  <c r="L71" i="11027" s="1"/>
  <c r="N74" i="11027"/>
  <c r="AF71" i="11027"/>
  <c r="AD71" i="11027" s="1"/>
  <c r="AF73" i="11027"/>
  <c r="AF72" i="11027"/>
  <c r="AF76" i="11027"/>
  <c r="AF75" i="11027"/>
  <c r="AF74" i="11027"/>
  <c r="AD74" i="11027" s="1"/>
  <c r="T53" i="11027"/>
  <c r="B110" i="11027"/>
  <c r="F101" i="11027"/>
  <c r="J53" i="11027"/>
  <c r="U53" i="11027"/>
  <c r="K53" i="11027"/>
  <c r="L53" i="11027"/>
  <c r="M53" i="11027"/>
  <c r="R53" i="11027"/>
  <c r="S53" i="11027"/>
  <c r="V53" i="11027"/>
  <c r="W71" i="11027"/>
  <c r="W75" i="11027"/>
  <c r="U75" i="11027" s="1"/>
  <c r="W72" i="11027"/>
  <c r="W74" i="11027"/>
  <c r="O51" i="11027"/>
  <c r="P51" i="11027"/>
  <c r="Q51" i="11027"/>
  <c r="T51" i="11027"/>
  <c r="R51" i="11027"/>
  <c r="S51" i="11027"/>
  <c r="F99" i="11027"/>
  <c r="U51" i="11027"/>
  <c r="V51" i="11027"/>
  <c r="K51" i="11027"/>
  <c r="N51" i="11027"/>
  <c r="J51" i="11027"/>
  <c r="B108" i="11027"/>
  <c r="L51" i="11027"/>
  <c r="M51" i="11027"/>
  <c r="AD57" i="11027"/>
  <c r="N57" i="11027"/>
  <c r="V52" i="11027"/>
  <c r="Q49" i="11027"/>
  <c r="M73" i="11027"/>
  <c r="AR71" i="11027"/>
  <c r="AS59" i="11027"/>
  <c r="AQ57" i="11027"/>
  <c r="S52" i="11027"/>
  <c r="N49" i="11027"/>
  <c r="AQ75" i="11027"/>
  <c r="H73" i="11027"/>
  <c r="E59" i="11027"/>
  <c r="F213" i="11027"/>
  <c r="AH75" i="11027"/>
  <c r="G73" i="11027"/>
  <c r="F73" i="11027" s="1"/>
  <c r="AN71" i="11027"/>
  <c r="AM71" i="11027" s="1"/>
  <c r="AQ59" i="11027"/>
  <c r="D59" i="11027"/>
  <c r="AO57" i="11027"/>
  <c r="Q52" i="11027"/>
  <c r="L49" i="11027"/>
  <c r="U52" i="11027"/>
  <c r="K73" i="11027"/>
  <c r="AT59" i="11027"/>
  <c r="AR57" i="11027"/>
  <c r="K57" i="11027" s="1"/>
  <c r="T52" i="11027"/>
  <c r="O49" i="11027"/>
  <c r="AR75" i="11027"/>
  <c r="J73" i="11027"/>
  <c r="I73" i="11027" s="1"/>
  <c r="Y74" i="11027"/>
  <c r="X74" i="11027" s="1"/>
  <c r="AQ71" i="11027"/>
  <c r="AP71" i="11027" s="1"/>
  <c r="AR59" i="11027"/>
  <c r="AP57" i="11027"/>
  <c r="R52" i="11027"/>
  <c r="M49" i="11027"/>
  <c r="V74" i="11027"/>
  <c r="U74" i="11027" s="1"/>
  <c r="AP59" i="11027"/>
  <c r="AV58" i="11027"/>
  <c r="AN57" i="11027"/>
  <c r="P52" i="11027"/>
  <c r="K49" i="11027"/>
  <c r="AJ71" i="11027"/>
  <c r="AM58" i="11027"/>
  <c r="F58" i="11027" s="1"/>
  <c r="V71" i="11027"/>
  <c r="U71" i="11027" s="1"/>
  <c r="AL58" i="11027"/>
  <c r="E58" i="11027" s="1"/>
  <c r="F157" i="11027"/>
  <c r="AK76" i="11027"/>
  <c r="H75" i="11027"/>
  <c r="F75" i="11027" s="1"/>
  <c r="H74" i="11027"/>
  <c r="Y72" i="11027"/>
  <c r="T71" i="11027"/>
  <c r="AR60" i="11027"/>
  <c r="K60" i="11027" s="1"/>
  <c r="AD59" i="11027"/>
  <c r="AK58" i="11027"/>
  <c r="D58" i="11027" s="1"/>
  <c r="F97" i="11027"/>
  <c r="F171" i="11027"/>
  <c r="AH76" i="11027"/>
  <c r="AG76" i="11027" s="1"/>
  <c r="G74" i="11027"/>
  <c r="S71" i="11027"/>
  <c r="AQ60" i="11027"/>
  <c r="J60" i="11027" s="1"/>
  <c r="AJ58" i="11027"/>
  <c r="C58" i="11027" s="1"/>
  <c r="G185" i="11027"/>
  <c r="V72" i="11027"/>
  <c r="Q71" i="11027"/>
  <c r="AS62" i="11027"/>
  <c r="AU61" i="11027"/>
  <c r="AP60" i="11027"/>
  <c r="AN76" i="11027"/>
  <c r="P71" i="11027"/>
  <c r="O71" i="11027" s="1"/>
  <c r="AT61" i="11027"/>
  <c r="M61" i="11027" s="1"/>
  <c r="V59" i="11027"/>
  <c r="F100" i="11027"/>
  <c r="M76" i="11027"/>
  <c r="S72" i="11027"/>
  <c r="R72" i="11027" s="1"/>
  <c r="AQ62" i="11027"/>
  <c r="AS61" i="11027"/>
  <c r="L61" i="11027" s="1"/>
  <c r="AD58" i="11027"/>
  <c r="F57" i="11027"/>
  <c r="K76" i="11027"/>
  <c r="AR74" i="11027"/>
  <c r="AQ73" i="11027"/>
  <c r="Q72" i="11027"/>
  <c r="M71" i="11027"/>
  <c r="AP62" i="11027"/>
  <c r="AO61" i="11027"/>
  <c r="X61" i="11027" s="1"/>
  <c r="O60" i="11027"/>
  <c r="W58" i="11027"/>
  <c r="E57" i="11027"/>
  <c r="F102" i="11027"/>
  <c r="F199" i="11027"/>
  <c r="AR72" i="11027"/>
  <c r="AP72" i="11027" s="1"/>
  <c r="L74" i="11027"/>
  <c r="K74" i="11027"/>
  <c r="I74" i="11027" s="1"/>
  <c r="O75" i="11027"/>
  <c r="AS60" i="11027"/>
  <c r="L60" i="11027" s="1"/>
  <c r="AR62" i="11027"/>
  <c r="J76" i="11027"/>
  <c r="AQ74" i="11027"/>
  <c r="AP74" i="11027" s="1"/>
  <c r="AN73" i="11027"/>
  <c r="P72" i="11027"/>
  <c r="O72" i="11027" s="1"/>
  <c r="H71" i="11027"/>
  <c r="F71" i="11027" s="1"/>
  <c r="AO62" i="11027"/>
  <c r="AN61" i="11027"/>
  <c r="N60" i="11027"/>
  <c r="O59" i="11027"/>
  <c r="D57" i="11027"/>
  <c r="B106" i="11027"/>
  <c r="H76" i="11027"/>
  <c r="AK74" i="11027"/>
  <c r="K72" i="11027"/>
  <c r="AN62" i="11027"/>
  <c r="AM61" i="11027"/>
  <c r="M60" i="11027"/>
  <c r="N54" i="11027"/>
  <c r="S49" i="11027"/>
  <c r="AM62" i="11027"/>
  <c r="V62" i="11027" s="1"/>
  <c r="AL61" i="11027"/>
  <c r="R49" i="11027"/>
  <c r="AM73" i="11027"/>
  <c r="AG73" i="11027"/>
  <c r="AG74" i="11027"/>
  <c r="AO76" i="11027"/>
  <c r="U62" i="11027"/>
  <c r="E62" i="11027"/>
  <c r="AL74" i="11027"/>
  <c r="AL73" i="11027"/>
  <c r="AL72" i="11027"/>
  <c r="AL75" i="11027"/>
  <c r="G143" i="11027"/>
  <c r="D214" i="11027"/>
  <c r="AO73" i="11027"/>
  <c r="AI76" i="11027"/>
  <c r="V76" i="11027"/>
  <c r="AQ76" i="11027"/>
  <c r="AP76" i="11027" s="1"/>
  <c r="S76" i="11027"/>
  <c r="P73" i="11027"/>
  <c r="AK73" i="11027"/>
  <c r="S73" i="11027"/>
  <c r="V73" i="11027"/>
  <c r="U73" i="11027" s="1"/>
  <c r="F143" i="11027"/>
  <c r="C214" i="11027"/>
  <c r="AE76" i="11027"/>
  <c r="AD76" i="11027" s="1"/>
  <c r="R74" i="11027"/>
  <c r="R54" i="11027"/>
  <c r="T54" i="11027"/>
  <c r="U54" i="11027"/>
  <c r="S54" i="11027"/>
  <c r="O54" i="11027"/>
  <c r="P54" i="11027"/>
  <c r="Q54" i="11027"/>
  <c r="V54" i="11027"/>
  <c r="AN75" i="11027"/>
  <c r="AM75" i="11027" s="1"/>
  <c r="S75" i="11027"/>
  <c r="J75" i="11027"/>
  <c r="I75" i="11027" s="1"/>
  <c r="M75" i="11027"/>
  <c r="AK75" i="11027"/>
  <c r="T76" i="11027"/>
  <c r="T75" i="11027"/>
  <c r="T73" i="11027"/>
  <c r="AO72" i="11027"/>
  <c r="S58" i="11027"/>
  <c r="G213" i="11027"/>
  <c r="AB73" i="11027"/>
  <c r="AA73" i="11027" s="1"/>
  <c r="AI72" i="11027"/>
  <c r="AI75" i="11027"/>
  <c r="AL76" i="11027"/>
  <c r="M50" i="11027"/>
  <c r="Q50" i="11027"/>
  <c r="N50" i="11027"/>
  <c r="O50" i="11027"/>
  <c r="P50" i="11027"/>
  <c r="V58" i="11027"/>
  <c r="W76" i="11027"/>
  <c r="W73" i="11027"/>
  <c r="AP75" i="11027"/>
  <c r="AE73" i="11027"/>
  <c r="AD73" i="11027" s="1"/>
  <c r="U58" i="11027"/>
  <c r="AA57" i="11027"/>
  <c r="T58" i="11027"/>
  <c r="AB76" i="11027"/>
  <c r="AA76" i="11027" s="1"/>
  <c r="AH72" i="11027"/>
  <c r="M72" i="11027"/>
  <c r="AK72" i="11027"/>
  <c r="J72" i="11027"/>
  <c r="AN72" i="11027"/>
  <c r="Z76" i="11027"/>
  <c r="AE75" i="11027"/>
  <c r="AE72" i="11027"/>
  <c r="H59" i="11027"/>
  <c r="X59" i="11027"/>
  <c r="S57" i="11027"/>
  <c r="Y76" i="11027"/>
  <c r="Z73" i="11027"/>
  <c r="G59" i="11027"/>
  <c r="W59" i="11027"/>
  <c r="N73" i="11027"/>
  <c r="L73" i="11027" s="1"/>
  <c r="N72" i="11027"/>
  <c r="N75" i="11027"/>
  <c r="Q76" i="11027"/>
  <c r="AO74" i="11027"/>
  <c r="Y73" i="11027"/>
  <c r="X73" i="11027" s="1"/>
  <c r="Z60" i="11027"/>
  <c r="J52" i="11027"/>
  <c r="L52" i="11027"/>
  <c r="M52" i="11027"/>
  <c r="K52" i="11027"/>
  <c r="P76" i="11027"/>
  <c r="AB75" i="11027"/>
  <c r="AA75" i="11027" s="1"/>
  <c r="AB72" i="11027"/>
  <c r="AA72" i="11027" s="1"/>
  <c r="AO71" i="11027"/>
  <c r="AC58" i="11027"/>
  <c r="M58" i="11027"/>
  <c r="M57" i="11027"/>
  <c r="V50" i="11027"/>
  <c r="L57" i="11027"/>
  <c r="U50" i="11027"/>
  <c r="G171" i="11027"/>
  <c r="N76" i="11027"/>
  <c r="L76" i="11027" s="1"/>
  <c r="Z75" i="11027"/>
  <c r="X75" i="11027" s="1"/>
  <c r="AI74" i="11027"/>
  <c r="F74" i="11027"/>
  <c r="Q73" i="11027"/>
  <c r="Z72" i="11027"/>
  <c r="T50" i="11027"/>
  <c r="J71" i="11027"/>
  <c r="I71" i="11027" s="1"/>
  <c r="AH71" i="11027"/>
  <c r="AG71" i="11027" s="1"/>
  <c r="AV57" i="11027"/>
  <c r="AL60" i="11027"/>
  <c r="AP61" i="11027"/>
  <c r="AT62" i="11027"/>
  <c r="AJ59" i="11027"/>
  <c r="AN60" i="11027"/>
  <c r="AR61" i="11027"/>
  <c r="AV62" i="11027"/>
  <c r="AM60" i="11027"/>
  <c r="AQ61" i="11027"/>
  <c r="AU62" i="11027"/>
  <c r="AB71" i="11027"/>
  <c r="AA71" i="11027" s="1"/>
  <c r="AJ62" i="11027"/>
  <c r="AO60" i="11027"/>
  <c r="AR58" i="11027"/>
  <c r="T49" i="11027"/>
  <c r="V49" i="11027"/>
  <c r="U49" i="11027"/>
  <c r="P74" i="11027"/>
  <c r="O74" i="11027" s="1"/>
  <c r="AN74" i="11027"/>
  <c r="AK60" i="11027"/>
  <c r="AQ58" i="11027"/>
  <c r="L58" i="11027"/>
  <c r="N53" i="11027"/>
  <c r="P53" i="11027"/>
  <c r="Q53" i="11027"/>
  <c r="O53" i="11027"/>
  <c r="K75" i="11027"/>
  <c r="AB74" i="11027"/>
  <c r="AA74" i="11027" s="1"/>
  <c r="AJ60" i="11027"/>
  <c r="AP58" i="11027"/>
  <c r="AR73" i="11027"/>
  <c r="AP73" i="11027" s="1"/>
  <c r="Y71" i="11027"/>
  <c r="X71" i="11027" s="1"/>
  <c r="AV61" i="11027"/>
  <c r="AO58" i="11027"/>
  <c r="R80" i="10983"/>
  <c r="U80" i="10983"/>
  <c r="T80" i="10983"/>
  <c r="S80" i="10983"/>
  <c r="I77" i="10983"/>
  <c r="J77" i="10983"/>
  <c r="K77" i="10983"/>
  <c r="L77" i="10983"/>
  <c r="M77" i="10983"/>
  <c r="N77" i="10983"/>
  <c r="I80" i="10983"/>
  <c r="O77" i="10983"/>
  <c r="J80" i="10983"/>
  <c r="P77" i="10983"/>
  <c r="K80" i="10983"/>
  <c r="Q77" i="10983"/>
  <c r="L80" i="10983"/>
  <c r="R77" i="10983"/>
  <c r="M80" i="10983"/>
  <c r="S77" i="10983"/>
  <c r="N80" i="10983"/>
  <c r="I83" i="10983"/>
  <c r="T77" i="10983"/>
  <c r="O80" i="10983"/>
  <c r="J83" i="10983"/>
  <c r="P80" i="10983"/>
  <c r="K83" i="10983"/>
  <c r="R127" i="11027" l="1"/>
  <c r="R128" i="11027" s="1" a="1"/>
  <c r="R128" i="11027" s="1"/>
  <c r="O58" i="11027"/>
  <c r="AE58" i="11027"/>
  <c r="W57" i="11027"/>
  <c r="G57" i="11027"/>
  <c r="AA59" i="11027"/>
  <c r="K59" i="11027"/>
  <c r="U61" i="11027"/>
  <c r="E61" i="11027"/>
  <c r="V61" i="11027"/>
  <c r="F61" i="11027"/>
  <c r="AB59" i="11027"/>
  <c r="L59" i="11027"/>
  <c r="J62" i="11027"/>
  <c r="Z62" i="11027"/>
  <c r="I60" i="11027"/>
  <c r="Y60" i="11027"/>
  <c r="Y59" i="11027"/>
  <c r="I59" i="11027"/>
  <c r="I76" i="11027"/>
  <c r="Z59" i="11027"/>
  <c r="J59" i="11027"/>
  <c r="N61" i="11027"/>
  <c r="AD61" i="11027"/>
  <c r="O76" i="11027"/>
  <c r="U72" i="11027"/>
  <c r="AG75" i="11027"/>
  <c r="W62" i="11027"/>
  <c r="G62" i="11027"/>
  <c r="L62" i="11027"/>
  <c r="AB62" i="11027"/>
  <c r="AD72" i="11027"/>
  <c r="AJ76" i="11027"/>
  <c r="I62" i="11027"/>
  <c r="Y62" i="11027"/>
  <c r="AM72" i="11027"/>
  <c r="AJ74" i="11027"/>
  <c r="K62" i="11027"/>
  <c r="AA62" i="11027"/>
  <c r="Y57" i="11027"/>
  <c r="I57" i="11027"/>
  <c r="AA60" i="11027"/>
  <c r="AD75" i="11027"/>
  <c r="AM74" i="11027"/>
  <c r="I72" i="11027"/>
  <c r="AB61" i="11027"/>
  <c r="Z57" i="11027"/>
  <c r="J57" i="11027"/>
  <c r="AB60" i="11027"/>
  <c r="M59" i="11027"/>
  <c r="AC59" i="11027"/>
  <c r="H61" i="11027"/>
  <c r="F62" i="11027"/>
  <c r="W61" i="11027"/>
  <c r="G61" i="11027"/>
  <c r="R71" i="11027"/>
  <c r="X57" i="11027"/>
  <c r="H57" i="11027"/>
  <c r="X72" i="11027"/>
  <c r="L72" i="11027"/>
  <c r="AC61" i="11027"/>
  <c r="AM76" i="11027"/>
  <c r="H62" i="11027"/>
  <c r="X62" i="11027"/>
  <c r="AE57" i="11027"/>
  <c r="O57" i="11027"/>
  <c r="I61" i="11027"/>
  <c r="Y61" i="11027"/>
  <c r="E60" i="11027"/>
  <c r="U60" i="11027"/>
  <c r="J58" i="11027"/>
  <c r="Z58" i="11027"/>
  <c r="D60" i="11027"/>
  <c r="T60" i="11027"/>
  <c r="AJ72" i="11027"/>
  <c r="AG72" i="11027"/>
  <c r="AA58" i="11027"/>
  <c r="K58" i="11027"/>
  <c r="H60" i="11027"/>
  <c r="X60" i="11027"/>
  <c r="H58" i="11027"/>
  <c r="X58" i="11027"/>
  <c r="C62" i="11027"/>
  <c r="S62" i="11027"/>
  <c r="O61" i="11027"/>
  <c r="AE61" i="11027"/>
  <c r="R73" i="11027"/>
  <c r="AD62" i="11027"/>
  <c r="N62" i="11027"/>
  <c r="AJ73" i="11027"/>
  <c r="J61" i="11027"/>
  <c r="Z61" i="11027"/>
  <c r="AJ75" i="11027"/>
  <c r="O73" i="11027"/>
  <c r="I58" i="11027"/>
  <c r="Y58" i="11027"/>
  <c r="F60" i="11027"/>
  <c r="V60" i="11027"/>
  <c r="L75" i="11027"/>
  <c r="R76" i="11027"/>
  <c r="S60" i="11027"/>
  <c r="C60" i="11027"/>
  <c r="AE62" i="11027"/>
  <c r="O62" i="11027"/>
  <c r="K61" i="11027"/>
  <c r="AA61" i="11027"/>
  <c r="X76" i="11027"/>
  <c r="R75" i="11027"/>
  <c r="U76" i="11027"/>
  <c r="G60" i="11027"/>
  <c r="W60" i="11027"/>
  <c r="C59" i="11027"/>
  <c r="S59" i="11027"/>
  <c r="M62" i="11027"/>
  <c r="AC62" i="11027"/>
  <c r="D257" i="11027" l="1"/>
  <c r="E257" i="11027"/>
  <c r="F257" i="11027"/>
  <c r="C257" i="11027"/>
  <c r="B257" i="11027"/>
  <c r="G49" i="10983" s="1"/>
  <c r="G16" i="11027" l="1"/>
  <c r="I16" i="11027"/>
  <c r="J16" i="11027"/>
  <c r="H16" i="11027"/>
  <c r="D16" i="11027"/>
  <c r="F16" i="11027"/>
  <c r="K16" i="11027"/>
  <c r="B16" i="11027"/>
  <c r="C16" i="11027"/>
  <c r="E16" i="11027"/>
  <c r="L16" i="11027"/>
  <c r="M16" i="11027"/>
  <c r="N16" i="11027"/>
  <c r="O2" i="10962"/>
  <c r="J40" i="10983" s="1"/>
  <c r="P2" i="10962"/>
  <c r="K40" i="10983" s="1"/>
  <c r="Q2" i="10962"/>
  <c r="L39" i="10983" s="1"/>
  <c r="R2" i="10962"/>
  <c r="M40" i="10983" s="1"/>
  <c r="S2" i="10962"/>
  <c r="N39" i="10983" s="1"/>
  <c r="T2" i="10962"/>
  <c r="O40" i="10983" s="1"/>
  <c r="U2" i="10962"/>
  <c r="P40" i="10983" s="1"/>
  <c r="V2" i="10962"/>
  <c r="Q40" i="10983" s="1"/>
  <c r="W2" i="10962"/>
  <c r="R40" i="10983" s="1"/>
  <c r="X2" i="10962"/>
  <c r="Y2" i="10962"/>
  <c r="Z2" i="10962"/>
  <c r="N2" i="10962"/>
  <c r="G92" i="10983"/>
  <c r="G93" i="10983"/>
  <c r="G94" i="10983"/>
  <c r="G95" i="10983"/>
  <c r="G96" i="10983"/>
  <c r="G91" i="10983"/>
  <c r="G99" i="10983"/>
  <c r="H101" i="10983"/>
  <c r="J53" i="10983"/>
  <c r="I53" i="10983"/>
  <c r="K53" i="10983"/>
  <c r="L53" i="10983"/>
  <c r="M53" i="10983"/>
  <c r="N53" i="10983"/>
  <c r="O53" i="10983"/>
  <c r="P53" i="10983"/>
  <c r="Q53" i="10983"/>
  <c r="R53" i="10983"/>
  <c r="S53" i="10983"/>
  <c r="T53" i="10983"/>
  <c r="U53" i="10983"/>
  <c r="M50" i="10983"/>
  <c r="G52" i="10983"/>
  <c r="I48" i="10983"/>
  <c r="J48" i="10983" s="1"/>
  <c r="K48" i="10983" s="1"/>
  <c r="L48" i="10983" s="1"/>
  <c r="M48" i="10983" s="1"/>
  <c r="N48" i="10983" s="1"/>
  <c r="O48" i="10983" s="1"/>
  <c r="P48" i="10983" s="1"/>
  <c r="Q48" i="10983" s="1"/>
  <c r="R48" i="10983" s="1"/>
  <c r="I60" i="10983"/>
  <c r="J60" i="10983" s="1"/>
  <c r="K60" i="10983" s="1"/>
  <c r="L60" i="10983" s="1"/>
  <c r="M60" i="10983" s="1"/>
  <c r="N60" i="10983" s="1"/>
  <c r="O60" i="10983" s="1"/>
  <c r="P60" i="10983" s="1"/>
  <c r="Q60" i="10983" s="1"/>
  <c r="R60" i="10983" s="1"/>
  <c r="S60" i="10983" s="1"/>
  <c r="T60" i="10983" s="1"/>
  <c r="U60" i="10983" s="1"/>
  <c r="G61" i="10983"/>
  <c r="G62" i="10983"/>
  <c r="G63" i="10983"/>
  <c r="G64" i="10983"/>
  <c r="G65" i="10983"/>
  <c r="G66" i="10983"/>
  <c r="G67" i="10983"/>
  <c r="I68" i="10983" s="1"/>
  <c r="I90" i="10983"/>
  <c r="J90" i="10983" s="1"/>
  <c r="K90" i="10983" s="1"/>
  <c r="L90" i="10983" s="1"/>
  <c r="M90" i="10983" s="1"/>
  <c r="N90" i="10983" s="1"/>
  <c r="O90" i="10983" s="1"/>
  <c r="P90" i="10983" s="1"/>
  <c r="Q90" i="10983" s="1"/>
  <c r="R90" i="10983" s="1"/>
  <c r="S90" i="10983" s="1"/>
  <c r="T90" i="10983" s="1"/>
  <c r="U90" i="10983" s="1"/>
  <c r="H98" i="10983"/>
  <c r="F106" i="10983"/>
  <c r="G106" i="10983"/>
  <c r="H106" i="10983"/>
  <c r="I106" i="10983"/>
  <c r="J106" i="10983"/>
  <c r="K106" i="10983"/>
  <c r="L106" i="10983"/>
  <c r="M106" i="10983"/>
  <c r="N106" i="10983"/>
  <c r="O106" i="10983"/>
  <c r="P106" i="10983"/>
  <c r="Q106" i="10983"/>
  <c r="R106" i="10983"/>
  <c r="G108" i="10983"/>
  <c r="H108" i="10983"/>
  <c r="I108" i="10983"/>
  <c r="J108" i="10983"/>
  <c r="K108" i="10983"/>
  <c r="L108" i="10983"/>
  <c r="M108" i="10983"/>
  <c r="N108" i="10983"/>
  <c r="O108" i="10983"/>
  <c r="P108" i="10983"/>
  <c r="Q108" i="10983"/>
  <c r="R108" i="10983"/>
  <c r="O109" i="10983"/>
  <c r="S39" i="10983"/>
  <c r="T40" i="10983"/>
  <c r="U39" i="10983"/>
  <c r="I39" i="10983"/>
  <c r="B6" i="10929"/>
  <c r="AN78" i="11027" l="1"/>
  <c r="AO78" i="11027" s="1"/>
  <c r="AN80" i="11027"/>
  <c r="AO80" i="11027" s="1"/>
  <c r="AN77" i="11027"/>
  <c r="AO77" i="11027" s="1"/>
  <c r="AN81" i="11027"/>
  <c r="AO81" i="11027" s="1"/>
  <c r="AN82" i="11027"/>
  <c r="AO82" i="11027" s="1"/>
  <c r="AN79" i="11027"/>
  <c r="AO79" i="11027" s="1"/>
  <c r="G77" i="11027"/>
  <c r="H77" i="11027" s="1"/>
  <c r="G78" i="11027"/>
  <c r="H78" i="11027" s="1"/>
  <c r="G79" i="11027"/>
  <c r="H79" i="11027" s="1"/>
  <c r="G80" i="11027"/>
  <c r="H80" i="11027" s="1"/>
  <c r="G81" i="11027"/>
  <c r="H81" i="11027" s="1"/>
  <c r="G82" i="11027"/>
  <c r="H82" i="11027" s="1"/>
  <c r="AQ79" i="11027"/>
  <c r="AR79" i="11027" s="1"/>
  <c r="AQ77" i="11027"/>
  <c r="AR77" i="11027" s="1"/>
  <c r="AQ80" i="11027"/>
  <c r="AR80" i="11027" s="1"/>
  <c r="AQ81" i="11027"/>
  <c r="AR81" i="11027" s="1"/>
  <c r="AQ82" i="11027"/>
  <c r="AR82" i="11027" s="1"/>
  <c r="AQ78" i="11027"/>
  <c r="AR78" i="11027" s="1"/>
  <c r="AK78" i="11027"/>
  <c r="AL78" i="11027" s="1"/>
  <c r="AK80" i="11027"/>
  <c r="AL80" i="11027" s="1"/>
  <c r="AK81" i="11027"/>
  <c r="AL81" i="11027" s="1"/>
  <c r="AK82" i="11027"/>
  <c r="AL82" i="11027" s="1"/>
  <c r="AK79" i="11027"/>
  <c r="AL79" i="11027" s="1"/>
  <c r="AK77" i="11027"/>
  <c r="AL77" i="11027" s="1"/>
  <c r="P81" i="11027"/>
  <c r="Q81" i="11027" s="1"/>
  <c r="P82" i="11027"/>
  <c r="Q82" i="11027" s="1"/>
  <c r="P79" i="11027"/>
  <c r="Q79" i="11027" s="1"/>
  <c r="P80" i="11027"/>
  <c r="Q80" i="11027" s="1"/>
  <c r="P77" i="11027"/>
  <c r="Q77" i="11027" s="1"/>
  <c r="P78" i="11027"/>
  <c r="Q78" i="11027" s="1"/>
  <c r="J79" i="11027"/>
  <c r="K79" i="11027" s="1"/>
  <c r="J82" i="11027"/>
  <c r="K82" i="11027" s="1"/>
  <c r="J80" i="11027"/>
  <c r="K80" i="11027" s="1"/>
  <c r="J81" i="11027"/>
  <c r="K81" i="11027" s="1"/>
  <c r="J77" i="11027"/>
  <c r="K77" i="11027" s="1"/>
  <c r="J78" i="11027"/>
  <c r="K78" i="11027" s="1"/>
  <c r="AH77" i="11027"/>
  <c r="AI77" i="11027" s="1"/>
  <c r="AH80" i="11027"/>
  <c r="AI80" i="11027" s="1"/>
  <c r="AH79" i="11027"/>
  <c r="AI79" i="11027" s="1"/>
  <c r="AH82" i="11027"/>
  <c r="AI82" i="11027" s="1"/>
  <c r="AH78" i="11027"/>
  <c r="AI78" i="11027" s="1"/>
  <c r="AH81" i="11027"/>
  <c r="AI81" i="11027" s="1"/>
  <c r="S82" i="11027"/>
  <c r="T82" i="11027" s="1"/>
  <c r="S81" i="11027"/>
  <c r="T81" i="11027" s="1"/>
  <c r="S79" i="11027"/>
  <c r="T79" i="11027" s="1"/>
  <c r="S80" i="11027"/>
  <c r="T80" i="11027" s="1"/>
  <c r="S77" i="11027"/>
  <c r="T77" i="11027" s="1"/>
  <c r="S78" i="11027"/>
  <c r="T78" i="11027" s="1"/>
  <c r="M79" i="11027"/>
  <c r="N79" i="11027" s="1"/>
  <c r="M82" i="11027"/>
  <c r="N82" i="11027" s="1"/>
  <c r="M80" i="11027"/>
  <c r="N80" i="11027" s="1"/>
  <c r="M81" i="11027"/>
  <c r="N81" i="11027" s="1"/>
  <c r="M77" i="11027"/>
  <c r="N77" i="11027" s="1"/>
  <c r="M78" i="11027"/>
  <c r="N78" i="11027" s="1"/>
  <c r="Y81" i="11027"/>
  <c r="Z81" i="11027" s="1"/>
  <c r="Y80" i="11027"/>
  <c r="Z80" i="11027" s="1"/>
  <c r="Y82" i="11027"/>
  <c r="Z82" i="11027" s="1"/>
  <c r="Y78" i="11027"/>
  <c r="Z78" i="11027" s="1"/>
  <c r="Y79" i="11027"/>
  <c r="Z79" i="11027" s="1"/>
  <c r="Y77" i="11027"/>
  <c r="Z77" i="11027" s="1"/>
  <c r="AE77" i="11027"/>
  <c r="AF77" i="11027" s="1"/>
  <c r="AE79" i="11027"/>
  <c r="AF79" i="11027" s="1"/>
  <c r="AE81" i="11027"/>
  <c r="AF81" i="11027" s="1"/>
  <c r="AE82" i="11027"/>
  <c r="AF82" i="11027" s="1"/>
  <c r="AE80" i="11027"/>
  <c r="AF80" i="11027" s="1"/>
  <c r="AE78" i="11027"/>
  <c r="AF78" i="11027" s="1"/>
  <c r="AB81" i="11027"/>
  <c r="AC81" i="11027" s="1"/>
  <c r="AB82" i="11027"/>
  <c r="AC82" i="11027" s="1"/>
  <c r="AB80" i="11027"/>
  <c r="AC80" i="11027" s="1"/>
  <c r="AB78" i="11027"/>
  <c r="AC78" i="11027" s="1"/>
  <c r="AB79" i="11027"/>
  <c r="AC79" i="11027" s="1"/>
  <c r="AB77" i="11027"/>
  <c r="AC77" i="11027" s="1"/>
  <c r="V81" i="11027"/>
  <c r="W81" i="11027" s="1"/>
  <c r="V78" i="11027"/>
  <c r="W78" i="11027" s="1"/>
  <c r="V80" i="11027"/>
  <c r="W80" i="11027" s="1"/>
  <c r="V82" i="11027"/>
  <c r="W82" i="11027" s="1"/>
  <c r="V79" i="11027"/>
  <c r="W79" i="11027" s="1"/>
  <c r="V77" i="11027"/>
  <c r="W77" i="11027" s="1"/>
  <c r="S48" i="10983"/>
  <c r="T48" i="10983" s="1"/>
  <c r="U48" i="10983" s="1"/>
  <c r="F108" i="10983"/>
  <c r="U68" i="10983"/>
  <c r="I50" i="10983"/>
  <c r="T68" i="10983"/>
  <c r="J50" i="10983"/>
  <c r="S68" i="10983"/>
  <c r="Q68" i="10983"/>
  <c r="P68" i="10983"/>
  <c r="N68" i="10983"/>
  <c r="R68" i="10983"/>
  <c r="O68" i="10983"/>
  <c r="M68" i="10983"/>
  <c r="L50" i="10983"/>
  <c r="K50" i="10983"/>
  <c r="K68" i="10983"/>
  <c r="J68" i="10983"/>
  <c r="L68" i="10983"/>
  <c r="U50" i="10983"/>
  <c r="T50" i="10983"/>
  <c r="S50" i="10983"/>
  <c r="R50" i="10983"/>
  <c r="Q50" i="10983"/>
  <c r="P50" i="10983"/>
  <c r="O50" i="10983"/>
  <c r="N50" i="10983"/>
  <c r="S40" i="10983"/>
  <c r="I40" i="10983"/>
  <c r="T39" i="10983"/>
  <c r="U40" i="10983"/>
  <c r="Q39" i="10983"/>
  <c r="O39" i="10983"/>
  <c r="M39" i="10983"/>
  <c r="N40" i="10983"/>
  <c r="P39" i="10983"/>
  <c r="L40" i="10983"/>
  <c r="R39" i="10983"/>
  <c r="K39" i="10983"/>
  <c r="J39" i="10983"/>
  <c r="A230" i="11027"/>
  <c r="U41" i="11010" l="1"/>
  <c r="T41" i="11010"/>
  <c r="S41" i="11010"/>
  <c r="R41" i="11010"/>
  <c r="Q41" i="11010"/>
  <c r="P41" i="11010"/>
  <c r="O41" i="11010"/>
  <c r="N41" i="11010"/>
  <c r="M41" i="11010"/>
  <c r="L41" i="11010"/>
  <c r="K41" i="11010"/>
  <c r="J41" i="11010"/>
  <c r="I41" i="11010"/>
  <c r="V41" i="11010" s="1"/>
  <c r="W27" i="11010" s="1"/>
  <c r="AA27" i="11010" s="1"/>
  <c r="V40" i="11010"/>
  <c r="W26" i="11010" s="1"/>
  <c r="AA26" i="11010" s="1"/>
  <c r="V39" i="11010"/>
  <c r="W25" i="11010" s="1"/>
  <c r="AA25" i="11010" s="1"/>
  <c r="V38" i="11010"/>
  <c r="V37" i="11010"/>
  <c r="V36" i="11010"/>
  <c r="V35" i="11010"/>
  <c r="V34" i="11010"/>
  <c r="Z27" i="11010"/>
  <c r="Z26" i="11010"/>
  <c r="Q26" i="11010"/>
  <c r="Z25" i="11010"/>
  <c r="Q25" i="11010"/>
  <c r="Z24" i="11010"/>
  <c r="W24" i="11010"/>
  <c r="AA24" i="11010" s="1"/>
  <c r="Q24" i="11010"/>
  <c r="AA23" i="11010"/>
  <c r="Z23" i="11010"/>
  <c r="W23" i="11010"/>
  <c r="Q23" i="11010"/>
  <c r="Z22" i="11010"/>
  <c r="W22" i="11010"/>
  <c r="AA22" i="11010" s="1"/>
  <c r="Q22" i="11010"/>
  <c r="AA21" i="11010"/>
  <c r="Z21" i="11010"/>
  <c r="W21" i="11010"/>
  <c r="K21" i="11010"/>
  <c r="AA20" i="11010"/>
  <c r="Z20" i="11010"/>
  <c r="W20" i="11010"/>
  <c r="K20" i="11010"/>
  <c r="AA19" i="11010"/>
  <c r="Z19" i="11010"/>
  <c r="W19" i="11010"/>
  <c r="K19" i="11010"/>
  <c r="AA18" i="11010"/>
  <c r="Z18" i="11010"/>
  <c r="W18" i="11010"/>
  <c r="K18" i="11010"/>
  <c r="T28" i="10983"/>
  <c r="N31" i="10983"/>
  <c r="N30" i="10983"/>
  <c r="N29" i="10983"/>
  <c r="N28" i="10983"/>
  <c r="N27" i="10983"/>
  <c r="N26" i="10983"/>
  <c r="V28" i="10983" l="1"/>
  <c r="J69" i="10983" l="1"/>
  <c r="K69" i="10983"/>
  <c r="L69" i="10983"/>
  <c r="M69" i="10983"/>
  <c r="N69" i="10983"/>
  <c r="O69" i="10983"/>
  <c r="P69" i="10983"/>
  <c r="Q69" i="10983"/>
  <c r="R69" i="10983"/>
  <c r="S69" i="10983"/>
  <c r="T69" i="10983"/>
  <c r="U69" i="10983"/>
  <c r="I69" i="10983"/>
  <c r="B102" i="11010"/>
  <c r="B100" i="11010"/>
  <c r="B99" i="11010"/>
  <c r="B101" i="11010"/>
  <c r="B97" i="11010"/>
  <c r="B98" i="11010"/>
  <c r="V26" i="10983"/>
  <c r="T26" i="10983" l="1"/>
  <c r="V30" i="10983"/>
  <c r="T30" i="10983"/>
  <c r="T27" i="10983"/>
  <c r="V27" i="10983"/>
  <c r="V29" i="10983"/>
  <c r="T29" i="10983"/>
  <c r="V31" i="10983"/>
  <c r="T31" i="10983"/>
  <c r="XFD2" i="10962"/>
  <c r="M51" i="10983" l="1"/>
  <c r="G257" i="11027" s="1"/>
  <c r="P51" i="10983"/>
  <c r="J257" i="11027" s="1"/>
  <c r="I54" i="10983"/>
  <c r="J51" i="10983" l="1"/>
  <c r="T51" i="10983"/>
  <c r="N257" i="11027" s="1"/>
  <c r="T54" i="10983"/>
  <c r="N54" i="10983"/>
  <c r="O54" i="10983"/>
  <c r="R54" i="10983"/>
  <c r="L54" i="10983"/>
  <c r="S54" i="10983"/>
  <c r="U54" i="10983"/>
  <c r="Q54" i="10983"/>
  <c r="P54" i="10983"/>
  <c r="M54" i="10983"/>
  <c r="K54" i="10983"/>
  <c r="J54" i="10983"/>
  <c r="S51" i="10983"/>
  <c r="M257" i="11027" s="1"/>
  <c r="I51" i="10983"/>
  <c r="K51" i="10983"/>
  <c r="O51" i="10983"/>
  <c r="I257" i="11027" s="1"/>
  <c r="U51" i="10983"/>
  <c r="O257" i="11027" s="1"/>
  <c r="Q51" i="10983"/>
  <c r="K257" i="11027" s="1"/>
  <c r="L51" i="10983"/>
  <c r="N51" i="10983"/>
  <c r="H257" i="11027" s="1"/>
  <c r="R51" i="10983"/>
  <c r="L257" i="110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tc={92C4A40B-0314-4B28-A760-677521E4EC24}</author>
  </authors>
  <commentList>
    <comment ref="B69" authorId="0" shapeId="0" xr:uid="{92C4A40B-0314-4B28-A760-677521E4EC24}">
      <text>
        <t>[Threaded comment]
Your version of Excel allows you to read this threaded comment; however, any edits to it will get removed if the file is opened in a newer version of Excel. Learn more: https://go.microsoft.com/fwlink/?linkid=870924
Comment:
    The “none” bit of this distribution can change over time. But the others are fixed. The “none” bit is controlled by the hhd and pd interventions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<sst xmlns="http://schemas.openxmlformats.org/spreadsheetml/2006/main" count="573" uniqueCount="196">
  <si>
    <t>Model Parameters</t>
  </si>
  <si>
    <t>Select Model Parameters</t>
  </si>
  <si>
    <t>Set Intervention Time  Parameters</t>
  </si>
  <si>
    <t xml:space="preserve">Select the region and centre of interest. To perform a region level run select "All" on the centre drop down. 
The default incidence profile is CKD Baseline (from the system dynamics model of disease progression). 
Other options represent  special scenarios run with the CKD model. Baseline is a simple linear projection.     </t>
  </si>
  <si>
    <t>Region</t>
  </si>
  <si>
    <t>Centre</t>
  </si>
  <si>
    <t>Run start year</t>
  </si>
  <si>
    <t>Ethnicity</t>
  </si>
  <si>
    <t>Baseline</t>
  </si>
  <si>
    <t>Incidence Profile</t>
  </si>
  <si>
    <t xml:space="preserve">CKD baseline </t>
  </si>
  <si>
    <t>Run end year</t>
  </si>
  <si>
    <t xml:space="preserve">Intervention Selection Summary (Of changes made below): </t>
  </si>
  <si>
    <t>Default Estimate</t>
  </si>
  <si>
    <t>New Value (Result of user input)</t>
  </si>
  <si>
    <t>Interventions</t>
  </si>
  <si>
    <t>Change in HHD and/or PD allocation</t>
  </si>
  <si>
    <t>Current Value (Default)</t>
  </si>
  <si>
    <t>New Value
(Result of user input)</t>
  </si>
  <si>
    <t>ERROR: Probability must be between 0-1.</t>
  </si>
  <si>
    <t>Diversion to CC and/or reductions in late presentations</t>
  </si>
  <si>
    <t>Transplant Interventions</t>
  </si>
  <si>
    <t>New CKD Scenario</t>
  </si>
  <si>
    <t>HIDE THIS TEST</t>
  </si>
  <si>
    <t>Default Incidence Profile</t>
  </si>
  <si>
    <t>Adjusted incidence profile</t>
  </si>
  <si>
    <t>Model Cost Parameters</t>
  </si>
  <si>
    <t xml:space="preserve">Average annual costs by treatment pathways per patient </t>
  </si>
  <si>
    <t>Costing Summary</t>
  </si>
  <si>
    <t xml:space="preserve">Default cost inputs are provided here based on costs from the Intercept paper. These can be edited by the user to reflect area specifc or updated costing estimates as appropriate. </t>
  </si>
  <si>
    <t>Default Model Cost</t>
  </si>
  <si>
    <t>Adjusted Cost</t>
  </si>
  <si>
    <t>HIDE THIS</t>
  </si>
  <si>
    <t>Annual average cost of ICHD</t>
  </si>
  <si>
    <t>Treatment Pathway Costs</t>
  </si>
  <si>
    <t>Annual average cost of HHD</t>
  </si>
  <si>
    <t>Annual average cost of PD</t>
  </si>
  <si>
    <t>Annual average cost of Living with Tx</t>
  </si>
  <si>
    <t xml:space="preserve">ERROR: Cost must be positive above zero. </t>
  </si>
  <si>
    <t>Intervention Costs</t>
  </si>
  <si>
    <t>All Interventions Total Cost</t>
  </si>
  <si>
    <t xml:space="preserve">Intervention Costs </t>
  </si>
  <si>
    <t>Optional: Write in Name of Program / intervention</t>
  </si>
  <si>
    <t>Total Intervention / Program Cost</t>
  </si>
  <si>
    <t xml:space="preserve">Example:  CKT/primary care interventions costs </t>
  </si>
  <si>
    <t>Example: KRT/secondary care interventions costs</t>
  </si>
  <si>
    <t>Intervention 1</t>
  </si>
  <si>
    <t>Intervention 2</t>
  </si>
  <si>
    <t>Intervention 3</t>
  </si>
  <si>
    <t>Intervention 4</t>
  </si>
  <si>
    <t>Intervention 5</t>
  </si>
  <si>
    <t>All above interventions</t>
  </si>
  <si>
    <t>Costs</t>
  </si>
  <si>
    <t>Year</t>
  </si>
  <si>
    <t xml:space="preserve">Unit </t>
  </si>
  <si>
    <t>Incidence</t>
  </si>
  <si>
    <t>Unit</t>
  </si>
  <si>
    <t>Unit population proportions (for incidence profile conversion)</t>
  </si>
  <si>
    <t>Validation</t>
  </si>
  <si>
    <t>Calibration</t>
  </si>
  <si>
    <t>1</t>
  </si>
  <si>
    <t>5</t>
  </si>
  <si>
    <t>2</t>
  </si>
  <si>
    <t>3</t>
  </si>
  <si>
    <t>4</t>
  </si>
  <si>
    <t>6</t>
  </si>
  <si>
    <t>Early</t>
  </si>
  <si>
    <t>Late</t>
  </si>
  <si>
    <t>Select the year the intervention is planned to take place. The change is in place from Jan 1st that year. 
The simulation will run from the start of "run start year" to the end of "run end year". Both are fixed inputs.
Note: Dec 31st 2022 is the last observed date in the UKRR data, the model is initialised accordingly.</t>
  </si>
  <si>
    <t>All interventions (adjusted)</t>
  </si>
  <si>
    <t>Intervention 2: KRT intervention</t>
  </si>
  <si>
    <t>Intervention 3: KRT intervention</t>
  </si>
  <si>
    <t>Change in probability of diverting to conservative care</t>
  </si>
  <si>
    <t>Change in probability of late presentation</t>
  </si>
  <si>
    <t>Change in HHD allocation probability</t>
  </si>
  <si>
    <t>Change in PD allocation probability</t>
  </si>
  <si>
    <t xml:space="preserve">Default cost inputs are provided here based on costs from the Intercept paper. These can be edited by the user to reflect area specific or updated costing estimates as appropriate. </t>
  </si>
  <si>
    <t>Intervention 1: KRT intervention</t>
  </si>
  <si>
    <t>simulation duration</t>
  </si>
  <si>
    <t>days</t>
  </si>
  <si>
    <t>Age dist</t>
  </si>
  <si>
    <t xml:space="preserve">Referral </t>
  </si>
  <si>
    <t>Rollout year target percentage</t>
  </si>
  <si>
    <t>Age group</t>
  </si>
  <si>
    <t>16-35</t>
  </si>
  <si>
    <t>36-45</t>
  </si>
  <si>
    <t>46-55</t>
  </si>
  <si>
    <t>56-65</t>
  </si>
  <si>
    <t>66-75</t>
  </si>
  <si>
    <t>75+</t>
  </si>
  <si>
    <t>Change in probability of pre-emptive live transplant</t>
  </si>
  <si>
    <t>Change in probability of pre-emptive cadaver transplant</t>
  </si>
  <si>
    <t>Rollout year target</t>
  </si>
  <si>
    <t>Routing Distributions</t>
  </si>
  <si>
    <t xml:space="preserve">Suitable for transplant </t>
  </si>
  <si>
    <t>Pre-emptive cadaver</t>
  </si>
  <si>
    <t>Arrival Process</t>
  </si>
  <si>
    <t>"none"</t>
  </si>
  <si>
    <t>"ichd"</t>
  </si>
  <si>
    <t>"hhd"</t>
  </si>
  <si>
    <t>"pd"</t>
  </si>
  <si>
    <t>Modality allocation</t>
  </si>
  <si>
    <t>Initially</t>
  </si>
  <si>
    <t>Tx Type</t>
  </si>
  <si>
    <t>Initialisation</t>
  </si>
  <si>
    <t>1_early:</t>
  </si>
  <si>
    <t>2_early:</t>
  </si>
  <si>
    <t>3_early:</t>
  </si>
  <si>
    <t>4_early:</t>
  </si>
  <si>
    <t>5_early:</t>
  </si>
  <si>
    <t>6_early:</t>
  </si>
  <si>
    <t>1_late:</t>
  </si>
  <si>
    <t>2_late:</t>
  </si>
  <si>
    <t>3_late:</t>
  </si>
  <si>
    <t>4_late:</t>
  </si>
  <si>
    <t>5_late:</t>
  </si>
  <si>
    <t>6_late:</t>
  </si>
  <si>
    <t>ichd:</t>
  </si>
  <si>
    <t>hhd:</t>
  </si>
  <si>
    <t>pd:</t>
  </si>
  <si>
    <t>live_transplant:</t>
  </si>
  <si>
    <t>cadaver_transplant:</t>
  </si>
  <si>
    <t>concare</t>
  </si>
  <si>
    <t>Experimentation</t>
  </si>
  <si>
    <t>Centre based growth assumption</t>
  </si>
  <si>
    <t>Current Value
 (Default)</t>
  </si>
  <si>
    <r>
      <rPr>
        <b/>
        <sz val="11"/>
        <color theme="1"/>
        <rFont val="Segoe UI"/>
        <family val="2"/>
      </rPr>
      <t xml:space="preserve">Change in divert to conservative care: </t>
    </r>
    <r>
      <rPr>
        <sz val="11"/>
        <color theme="1"/>
        <rFont val="Segoe UI"/>
        <family val="2"/>
      </rPr>
      <t xml:space="preserve">A relative change in the proportion of all age groups that are diverted to conservative management/care by x%. This is applied equally across all age groups.
</t>
    </r>
    <r>
      <rPr>
        <b/>
        <sz val="11"/>
        <color theme="1"/>
        <rFont val="Segoe UI"/>
        <family val="2"/>
      </rPr>
      <t>Change in late presentation:</t>
    </r>
    <r>
      <rPr>
        <sz val="11"/>
        <color theme="1"/>
        <rFont val="Segoe UI"/>
        <family val="2"/>
      </rPr>
      <t xml:space="preserve"> A relative change in the proportion of patients that present to the system late. </t>
    </r>
  </si>
  <si>
    <r>
      <rPr>
        <b/>
        <sz val="11"/>
        <color theme="1"/>
        <rFont val="Segoe UI"/>
        <family val="2"/>
      </rPr>
      <t>Centre based growth assumption:</t>
    </r>
    <r>
      <rPr>
        <sz val="11"/>
        <color theme="1"/>
        <rFont val="Segoe UI"/>
        <family val="2"/>
      </rPr>
      <t xml:space="preserve">  The baseline assumption is that  incidence to KRT for a centre grows as a constant proportion of regional growth. This can be edited here to reflect a non-stationary  profile of growth for a centre.
</t>
    </r>
  </si>
  <si>
    <t>Rollout year target/target percentage</t>
  </si>
  <si>
    <t>ichd</t>
  </si>
  <si>
    <t>hhd</t>
  </si>
  <si>
    <t>pd</t>
  </si>
  <si>
    <t>Pre-emptive live</t>
  </si>
  <si>
    <t>CURRENTLY PULLING THESE VALUES</t>
  </si>
  <si>
    <t>validation</t>
  </si>
  <si>
    <t>experimentation</t>
  </si>
  <si>
    <t>Reference Values</t>
  </si>
  <si>
    <t>The following plots are for reference when setting new scenario values. Values are provided at national (England), regional (Midlands) and centre levels. This should allow a user to pick an optimistic, but realistic scenario value.</t>
  </si>
  <si>
    <t>NEED TO ADD THESE</t>
  </si>
  <si>
    <t>Prev</t>
  </si>
  <si>
    <t>Total</t>
  </si>
  <si>
    <t>Mort</t>
  </si>
  <si>
    <t>Prevalent</t>
  </si>
  <si>
    <t>Incident</t>
  </si>
  <si>
    <t>Daily average cost of ICHD</t>
  </si>
  <si>
    <t>Daily average cost of HHD</t>
  </si>
  <si>
    <t>Daily average cost of PD</t>
  </si>
  <si>
    <t>Daily average cost of Living with Tx</t>
  </si>
  <si>
    <t xml:space="preserve">ICHD multiplier </t>
  </si>
  <si>
    <t xml:space="preserve">HHD multiplier </t>
  </si>
  <si>
    <t xml:space="preserve">PD multiplier </t>
  </si>
  <si>
    <t>TTD</t>
  </si>
  <si>
    <t>TTMA</t>
  </si>
  <si>
    <t>Live multiplier</t>
  </si>
  <si>
    <t>Cadaver multiplier</t>
  </si>
  <si>
    <t xml:space="preserve">TTGF </t>
  </si>
  <si>
    <t>TW for transplant</t>
  </si>
  <si>
    <t>depreciated</t>
  </si>
  <si>
    <t>Inc</t>
  </si>
  <si>
    <t>inc</t>
  </si>
  <si>
    <t>prev</t>
  </si>
  <si>
    <t>Receives Tx</t>
  </si>
  <si>
    <t>Fictional Region</t>
  </si>
  <si>
    <t>Fictional Centre</t>
  </si>
  <si>
    <t>There is currently no change in pre-emptive by age, the data values got too low in some regions to be able to estimate this well</t>
  </si>
  <si>
    <t>Pre-emptive combined</t>
  </si>
  <si>
    <t xml:space="preserve"> Default Incidence:</t>
  </si>
  <si>
    <t>User Impacted Incidence:</t>
  </si>
  <si>
    <t xml:space="preserve"> Default Allocation %:</t>
  </si>
  <si>
    <t>User Impacted Allocation %:</t>
  </si>
  <si>
    <t>Default percentage late presenters:</t>
  </si>
  <si>
    <t>User Impacted percentage late presenters:</t>
  </si>
  <si>
    <r>
      <rPr>
        <b/>
        <sz val="11"/>
        <color theme="1"/>
        <rFont val="Segoe UI"/>
        <family val="2"/>
      </rPr>
      <t>Change in % of patients receiving a transplant:</t>
    </r>
    <r>
      <rPr>
        <sz val="11"/>
        <color theme="1"/>
        <rFont val="Segoe UI"/>
        <family val="2"/>
      </rPr>
      <t xml:space="preserve"> Allows a user to change the percentage of patients that receiving a transplant after having been listed. This change is applied proportionally across age groups.</t>
    </r>
    <r>
      <rPr>
        <b/>
        <sz val="11"/>
        <color theme="1"/>
        <rFont val="Segoe UI"/>
        <family val="2"/>
      </rPr>
      <t xml:space="preserve">
Change in pre-emptive transplants:</t>
    </r>
    <r>
      <rPr>
        <sz val="11"/>
        <color theme="1"/>
        <rFont val="Segoe UI"/>
        <family val="2"/>
      </rPr>
      <t xml:space="preserve"> Allows a user to change the percentage of patients with early referral status that receive a pre-emptive (preE) transplant. This change is applied proportionally across transplant types. </t>
    </r>
  </si>
  <si>
    <t>Change to % of patients receiving a transplant</t>
  </si>
  <si>
    <t>Change to % of Tx patients that have preE-Tx</t>
  </si>
  <si>
    <t>Default % Tx patients receiveing a preE transplant:</t>
  </si>
  <si>
    <t>User Impacted % of Tx patients receiving a preE transplant:</t>
  </si>
  <si>
    <r>
      <t xml:space="preserve">New (Regional) </t>
    </r>
    <r>
      <rPr>
        <b/>
        <sz val="11"/>
        <color theme="1"/>
        <rFont val="Segoe UI"/>
        <family val="2"/>
      </rPr>
      <t>Annual</t>
    </r>
    <r>
      <rPr>
        <sz val="11"/>
        <color theme="1"/>
        <rFont val="Segoe UI"/>
        <family val="2"/>
      </rPr>
      <t xml:space="preserve"> Incidence Profile from CKD </t>
    </r>
  </si>
  <si>
    <r>
      <rPr>
        <b/>
        <sz val="11"/>
        <color theme="1"/>
        <rFont val="Segoe UI"/>
        <family val="2"/>
      </rPr>
      <t xml:space="preserve">New CKD Scenario: </t>
    </r>
    <r>
      <rPr>
        <sz val="11"/>
        <color theme="1"/>
        <rFont val="Segoe UI"/>
        <family val="2"/>
      </rPr>
      <t>If an alternative scenario has been run using the CKD model and you would like to use that as an input to this model then input it below. Note that the input takes an annual number of arrivals and coverts it to daily (with an inflation factor for conservative management patients that aren't accounted for in the CKD output).</t>
    </r>
    <r>
      <rPr>
        <i/>
        <sz val="11"/>
        <color theme="1"/>
        <rFont val="Segoe UI"/>
        <family val="2"/>
      </rPr>
      <t xml:space="preserve">
</t>
    </r>
    <r>
      <rPr>
        <b/>
        <i/>
        <sz val="11"/>
        <color theme="1"/>
        <rFont val="Segoe UI"/>
        <family val="2"/>
      </rPr>
      <t>Note:</t>
    </r>
    <r>
      <rPr>
        <i/>
        <sz val="11"/>
        <color theme="1"/>
        <rFont val="Segoe UI"/>
        <family val="2"/>
      </rPr>
      <t xml:space="preserve"> The CKD model output is regional. This will be adjusted to centre level, and to account for the population diverting to conservative care, automatically before the simulation is run. The adjusted profile can be seen below your input.</t>
    </r>
  </si>
  <si>
    <t>Initial</t>
  </si>
  <si>
    <t>HHD intervention</t>
  </si>
  <si>
    <t>initially</t>
  </si>
  <si>
    <r>
      <rPr>
        <b/>
        <sz val="11"/>
        <color theme="1"/>
        <rFont val="Segoe UI"/>
        <family val="2"/>
      </rPr>
      <t xml:space="preserve">Change in HHD: </t>
    </r>
    <r>
      <rPr>
        <sz val="11"/>
        <color theme="1"/>
        <rFont val="Segoe UI"/>
        <family val="2"/>
      </rPr>
      <t xml:space="preserve">Allows a user to change the percentage of people on HHD to a target of x% at the end of each year (to achieve this patients are moved from/to ICHD). 
</t>
    </r>
    <r>
      <rPr>
        <b/>
        <sz val="11"/>
        <color theme="1"/>
        <rFont val="Segoe UI"/>
        <family val="2"/>
      </rPr>
      <t>Change in PD:</t>
    </r>
    <r>
      <rPr>
        <sz val="11"/>
        <color theme="1"/>
        <rFont val="Segoe UI"/>
        <family val="2"/>
      </rPr>
      <t xml:space="preserve"> Allows a user to change the initial allocation probablity of PD to a target of x% (resulting in shifting the initial ICHD allocation probability up or down). </t>
    </r>
  </si>
  <si>
    <t>Change in % allocated to HHD</t>
  </si>
  <si>
    <t>Change in % initially allocated to PD</t>
  </si>
  <si>
    <r>
      <rPr>
        <b/>
        <sz val="11"/>
        <color theme="1"/>
        <rFont val="Segoe UI"/>
        <family val="2"/>
      </rPr>
      <t>Change in % of patients receiving a live transplant:</t>
    </r>
    <r>
      <rPr>
        <sz val="11"/>
        <color theme="1"/>
        <rFont val="Segoe UI"/>
        <family val="2"/>
      </rPr>
      <t xml:space="preserve"> Allows a user to change the percentage of patients that receiving a live transplant given that they were listed. This change is applied enely across age groups.</t>
    </r>
    <r>
      <rPr>
        <b/>
        <sz val="11"/>
        <color theme="1"/>
        <rFont val="Segoe UI"/>
        <family val="2"/>
      </rPr>
      <t xml:space="preserve"> 
Change in % of patients receiving a cadaver transplant:</t>
    </r>
    <r>
      <rPr>
        <sz val="11"/>
        <color theme="1"/>
        <rFont val="Segoe UI"/>
        <family val="2"/>
      </rPr>
      <t xml:space="preserve"> Allows a user to change the percentage of patients that receiving a cadaver transplant given that they were listed. This change is applied evenly across age groups.</t>
    </r>
    <r>
      <rPr>
        <b/>
        <sz val="11"/>
        <color theme="1"/>
        <rFont val="Segoe UI"/>
        <family val="2"/>
      </rPr>
      <t xml:space="preserve">
Change in % of transplant patients receiving pre-emptive transplants:</t>
    </r>
    <r>
      <rPr>
        <sz val="11"/>
        <color theme="1"/>
        <rFont val="Segoe UI"/>
        <family val="2"/>
      </rPr>
      <t xml:space="preserve"> Allows a user to change the percentage of patients with early referral status that receive a pre-emptive (preE) transplant. This change is applied proportionally across transplant types. </t>
    </r>
  </si>
  <si>
    <t>Change to % of listed patients receiving a live transplant</t>
  </si>
  <si>
    <t>Default % patients receiveing a transplant:</t>
  </si>
  <si>
    <t>User Impacted % of patients receiving a transplant:</t>
  </si>
  <si>
    <t>Change to % of listed patients receiving a cadaver transplant</t>
  </si>
  <si>
    <t>P(receives tx)</t>
  </si>
  <si>
    <t>Recieves Tx</t>
  </si>
  <si>
    <t>AGE</t>
  </si>
  <si>
    <t>TxType</t>
  </si>
  <si>
    <t xml:space="preserve">Recieves Live </t>
  </si>
  <si>
    <t>Recieves Cadaver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</si>
</sst>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quot;£&quot;#,##0"/>
    <numFmt numFmtId="166" formatCode="0.0%"/>
  </numFmts>
  <fonts count="29">
    <font>
      <sz val="11"/>
      <color theme="1"/>
      <name val="Aptos Narrow"/>
      <family val="2"/>
      <scheme val="minor"/>
    </font>
    <font>
      <b/>
      <sz val="11"/>
      <color theme="1"/>
      <name val="Aptos Narrow"/>
      <family val="2"/>
      <scheme val="minor"/>
    </font>
    <font>
      <sz val="11"/>
      <color indexed="8"/>
      <name val="Aptos Narrow"/>
      <family val="2"/>
      <scheme val="minor"/>
    </font>
    <font>
      <sz val="11"/>
      <color rgb="FF000000"/>
      <name val="Aptos Narrow"/>
      <family val="2"/>
      <scheme val="minor"/>
    </font>
    <font>
      <sz val="11"/>
      <color theme="1"/>
      <name val="Aptos Narrow"/>
      <family val="2"/>
      <scheme val="minor"/>
    </font>
    <font>
      <sz val="10"/>
      <color theme="1"/>
      <name val="Segoe UI"/>
      <family val="2"/>
    </font>
    <font>
      <sz val="11"/>
      <color theme="1"/>
      <name val="Segoe UI"/>
      <family val="2"/>
    </font>
    <font>
      <b/>
      <sz val="16"/>
      <color theme="1"/>
      <name val="Segoe UI"/>
      <family val="2"/>
    </font>
    <font>
      <b/>
      <sz val="11"/>
      <color theme="1"/>
      <name val="Segoe UI"/>
      <family val="2"/>
    </font>
    <font>
      <i/>
      <sz val="11"/>
      <color theme="1"/>
      <name val="Segoe UI"/>
      <family val="2"/>
    </font>
    <font>
      <sz val="11"/>
      <name val="Segoe UI"/>
      <family val="2"/>
    </font>
    <font>
      <i/>
      <sz val="11"/>
      <name val="Segoe UI"/>
      <family val="2"/>
    </font>
    <font>
      <sz val="10"/>
      <name val="Segoe UI"/>
      <family val="2"/>
    </font>
    <font>
      <b/>
      <i/>
      <sz val="11"/>
      <color theme="1"/>
      <name val="Segoe UI"/>
      <family val="2"/>
    </font>
    <font>
      <b/>
      <sz val="10"/>
      <color theme="1"/>
      <name val="Segoe UI"/>
      <family val="2"/>
    </font>
    <font>
      <sz val="11"/>
      <color theme="0"/>
      <name val="Segoe UI"/>
      <family val="2"/>
    </font>
    <font>
      <sz val="12"/>
      <color rgb="FF212121"/>
      <name val="BlinkMacSystemFont"/>
      <charset val="1"/>
    </font>
    <font>
      <i/>
      <sz val="10"/>
      <color theme="1"/>
      <name val="Segoe UI"/>
      <family val="2"/>
    </font>
    <font>
      <b/>
      <sz val="12"/>
      <color theme="1"/>
      <name val="Segoe UI"/>
      <family val="2"/>
    </font>
    <font>
      <b/>
      <i/>
      <sz val="10"/>
      <color theme="1"/>
      <name val="Segoe UI"/>
      <family val="2"/>
    </font>
    <font>
      <sz val="12"/>
      <color theme="1"/>
      <name val="Segoe UI"/>
      <family val="2"/>
    </font>
    <font>
      <i/>
      <sz val="12"/>
      <color theme="1"/>
      <name val="Segoe UI"/>
      <family val="2"/>
    </font>
    <font>
      <sz val="10"/>
      <color rgb="FFC00000"/>
      <name val="Segoe UI"/>
      <family val="2"/>
    </font>
    <font>
      <sz val="8"/>
      <name val="Aptos Narrow"/>
      <family val="2"/>
      <scheme val="minor"/>
    </font>
    <font>
      <sz val="11"/>
      <color rgb="FFFF0000"/>
      <name val="Aptos Narrow"/>
      <family val="2"/>
      <scheme val="minor"/>
    </font>
    <font>
      <sz val="11"/>
      <color rgb="FFFF0000"/>
      <name val="Segoe UI"/>
      <family val="2"/>
    </font>
    <font>
      <b/>
      <sz val="11"/>
      <color theme="0"/>
      <name val="Segoe UI"/>
      <family val="2"/>
    </font>
    <font>
      <sz val="11"/>
      <color rgb="FF000000"/>
      <name val="Calibri"/>
      <family val="2"/>
    </font>
    <font>
      <b/>
      <sz val="11"/>
      <color rgb="FF000000"/>
      <name val="Aptos Narrow"/>
      <family val="2"/>
      <scheme val="minor"/>
    </font>
  </fonts>
  <fills count="12">
    <fill>
      <patternFill patternType="none"/>
    </fill>
    <fill>
      <patternFill patternType="gray125"/>
    </fill>
    <fill>
      <patternFill patternType="solid">
        <fgColor theme="6" tint="0.79998168889431442"/>
        <bgColor indexed="64"/>
      </patternFill>
    </fill>
    <fill>
      <patternFill patternType="solid">
        <fgColor theme="2" tint="-9.9978637043366805E-2"/>
        <bgColor indexed="64"/>
      </patternFill>
    </fill>
    <fill>
      <patternFill patternType="solid">
        <fgColor rgb="FFF9BF07"/>
        <bgColor indexed="64"/>
      </patternFill>
    </fill>
    <fill>
      <patternFill patternType="solid">
        <fgColor theme="0"/>
        <bgColor indexed="64"/>
      </patternFill>
    </fill>
    <fill>
      <patternFill patternType="solid">
        <fgColor theme="0" tint="-4.9989318521683403E-2"/>
        <bgColor indexed="64"/>
      </patternFill>
    </fill>
    <fill>
      <patternFill patternType="solid">
        <fgColor rgb="FFC8D5EA"/>
        <bgColor indexed="64"/>
      </patternFill>
    </fill>
    <fill>
      <patternFill patternType="solid">
        <fgColor rgb="FFFFFF00"/>
        <bgColor indexed="64"/>
      </patternFill>
    </fill>
    <fill>
      <patternFill patternType="solid">
        <fgColor rgb="FFA6BBDE"/>
        <bgColor indexed="64"/>
      </patternFill>
    </fill>
    <fill>
      <patternFill patternType="solid">
        <fgColor rgb="FFFF0000"/>
        <bgColor indexed="64"/>
      </patternFill>
    </fill>
    <fill>
      <patternFill patternType="solid">
        <fgColor theme="2" tint="-0.499984740745262"/>
        <bgColor indexed="64"/>
      </patternFill>
    </fill>
  </fills>
  <borders count="2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thin">
        <color indexed="64"/>
      </bottom>
      <diagonal/>
    </border>
  </borders>
  <cellStyleXfs count="4">
    <xf numFmtId="0" fontId="0" fillId="0" borderId="0"/>
    <xf numFmtId="0" fontId="2" fillId="0" borderId="0"/>
    <xf numFmtId="0" fontId="3" fillId="0" borderId="0"/>
    <xf numFmtId="9" fontId="4" fillId="0" borderId="0" applyFont="0" applyFill="0" applyBorder="0" applyAlignment="0" applyProtection="0"/>
  </cellStyleXfs>
  <cellXfs count="234">
    <xf numFmtId="0" fontId="0" fillId="0" borderId="0" xfId="0"/>
    <xf numFmtId="0" fontId="1" fillId="0" borderId="0" xfId="0" applyFont="1"/>
    <xf numFmtId="0" fontId="0" fillId="2" borderId="0" xfId="0" applyFill="1"/>
    <xf numFmtId="164" fontId="0" fillId="0" borderId="0" xfId="0" applyNumberFormat="1"/>
    <xf numFmtId="0" fontId="3" fillId="0" borderId="0" xfId="2"/>
    <xf numFmtId="0" fontId="0" fillId="4" borderId="0" xfId="0" applyFill="1"/>
    <xf numFmtId="0" fontId="6" fillId="5" borderId="0" xfId="0" applyFont="1" applyFill="1"/>
    <xf numFmtId="0" fontId="7" fillId="5" borderId="1" xfId="0" applyFont="1" applyFill="1" applyBorder="1"/>
    <xf numFmtId="0" fontId="5" fillId="5" borderId="1" xfId="0" applyFont="1" applyFill="1" applyBorder="1"/>
    <xf numFmtId="0" fontId="5" fillId="5" borderId="0" xfId="0" applyFont="1" applyFill="1"/>
    <xf numFmtId="0" fontId="6" fillId="5" borderId="1" xfId="0" applyFont="1" applyFill="1" applyBorder="1"/>
    <xf numFmtId="0" fontId="6" fillId="0" borderId="0" xfId="0" applyFont="1"/>
    <xf numFmtId="0" fontId="6" fillId="5" borderId="7" xfId="0" applyFont="1" applyFill="1" applyBorder="1"/>
    <xf numFmtId="0" fontId="5" fillId="0" borderId="0" xfId="0" applyFont="1"/>
    <xf numFmtId="0" fontId="6" fillId="0" borderId="0" xfId="0" applyFont="1" applyAlignment="1">
      <alignment horizontal="center"/>
    </xf>
    <xf numFmtId="0" fontId="6" fillId="5" borderId="0" xfId="0" applyFont="1" applyFill="1" applyAlignment="1">
      <alignment wrapText="1"/>
    </xf>
    <xf numFmtId="0" fontId="5" fillId="5" borderId="0" xfId="0" applyFont="1" applyFill="1" applyAlignment="1">
      <alignment wrapText="1"/>
    </xf>
    <xf numFmtId="0" fontId="15" fillId="5" borderId="0" xfId="0" applyFont="1" applyFill="1"/>
    <xf numFmtId="0" fontId="16" fillId="0" borderId="0" xfId="0" applyFont="1"/>
    <xf numFmtId="0" fontId="18" fillId="0" borderId="1" xfId="0" applyFont="1" applyBorder="1"/>
    <xf numFmtId="0" fontId="5" fillId="5" borderId="0" xfId="0" applyFont="1" applyFill="1" applyAlignment="1">
      <alignment horizontal="center" wrapText="1"/>
    </xf>
    <xf numFmtId="0" fontId="5" fillId="5" borderId="0" xfId="0" applyFont="1" applyFill="1" applyAlignment="1">
      <alignment horizontal="center"/>
    </xf>
    <xf numFmtId="165" fontId="14" fillId="5" borderId="2" xfId="0" applyNumberFormat="1" applyFont="1" applyFill="1" applyBorder="1" applyAlignment="1">
      <alignment horizontal="center" vertical="center"/>
    </xf>
    <xf numFmtId="0" fontId="20" fillId="5" borderId="0" xfId="0" applyFont="1" applyFill="1" applyAlignment="1">
      <alignment wrapText="1"/>
    </xf>
    <xf numFmtId="0" fontId="20" fillId="5" borderId="1" xfId="0" applyFont="1" applyFill="1" applyBorder="1" applyAlignment="1">
      <alignment wrapText="1"/>
    </xf>
    <xf numFmtId="0" fontId="6" fillId="0" borderId="1" xfId="0" applyFont="1" applyBorder="1"/>
    <xf numFmtId="0" fontId="6" fillId="0" borderId="0" xfId="0" applyFont="1" applyAlignment="1">
      <alignment horizontal="left" vertical="center" indent="1"/>
    </xf>
    <xf numFmtId="0" fontId="22" fillId="5" borderId="0" xfId="0" applyFont="1" applyFill="1" applyAlignment="1">
      <alignment wrapText="1"/>
    </xf>
    <xf numFmtId="165" fontId="22" fillId="5" borderId="0" xfId="0" applyNumberFormat="1" applyFont="1" applyFill="1"/>
    <xf numFmtId="0" fontId="20" fillId="3" borderId="7" xfId="0" applyFont="1" applyFill="1" applyBorder="1"/>
    <xf numFmtId="0" fontId="20" fillId="3" borderId="8" xfId="0" applyFont="1" applyFill="1" applyBorder="1"/>
    <xf numFmtId="0" fontId="20" fillId="3" borderId="0" xfId="0" applyFont="1" applyFill="1"/>
    <xf numFmtId="0" fontId="20" fillId="3" borderId="9" xfId="0" applyFont="1" applyFill="1" applyBorder="1"/>
    <xf numFmtId="0" fontId="20" fillId="5" borderId="7" xfId="0" applyFont="1" applyFill="1" applyBorder="1"/>
    <xf numFmtId="0" fontId="20" fillId="5" borderId="0" xfId="0" applyFont="1" applyFill="1"/>
    <xf numFmtId="0" fontId="20" fillId="5" borderId="3" xfId="0" applyFont="1" applyFill="1" applyBorder="1"/>
    <xf numFmtId="0" fontId="20" fillId="5" borderId="4" xfId="0" applyFont="1" applyFill="1" applyBorder="1"/>
    <xf numFmtId="0" fontId="20" fillId="5" borderId="5" xfId="0" applyFont="1" applyFill="1" applyBorder="1"/>
    <xf numFmtId="165" fontId="5" fillId="7" borderId="2" xfId="0" applyNumberFormat="1" applyFont="1" applyFill="1" applyBorder="1" applyAlignment="1">
      <alignment horizontal="center" vertical="center"/>
    </xf>
    <xf numFmtId="165" fontId="5" fillId="5" borderId="2" xfId="0" applyNumberFormat="1" applyFont="1" applyFill="1" applyBorder="1" applyAlignment="1">
      <alignment horizontal="center" vertical="center"/>
    </xf>
    <xf numFmtId="0" fontId="0" fillId="7" borderId="2" xfId="0" applyFill="1" applyBorder="1"/>
    <xf numFmtId="0" fontId="0" fillId="8" borderId="0" xfId="0" applyFill="1"/>
    <xf numFmtId="0" fontId="20" fillId="0" borderId="0" xfId="0" applyFont="1"/>
    <xf numFmtId="0" fontId="18" fillId="0" borderId="0" xfId="0" applyFont="1"/>
    <xf numFmtId="165" fontId="20" fillId="0" borderId="0" xfId="0" applyNumberFormat="1" applyFont="1"/>
    <xf numFmtId="0" fontId="28" fillId="0" borderId="0" xfId="2" applyFont="1"/>
    <xf numFmtId="0" fontId="0" fillId="10" borderId="0" xfId="0" applyFill="1"/>
    <xf numFmtId="0" fontId="1" fillId="10" borderId="0" xfId="0" applyFont="1" applyFill="1"/>
    <xf numFmtId="0" fontId="0" fillId="11" borderId="0" xfId="0" applyFill="1"/>
    <xf numFmtId="0" fontId="0" fillId="6" borderId="0" xfId="0" applyFill="1"/>
    <xf numFmtId="0" fontId="0" fillId="0" borderId="14" xfId="0" applyBorder="1"/>
    <xf numFmtId="0" fontId="0" fillId="0" borderId="15" xfId="0" applyBorder="1"/>
    <xf numFmtId="0" fontId="0" fillId="0" borderId="16" xfId="0" applyBorder="1"/>
    <xf numFmtId="0" fontId="3" fillId="2" borderId="0" xfId="2" applyFill="1"/>
    <xf numFmtId="2" fontId="0" fillId="2" borderId="0" xfId="0" applyNumberFormat="1" applyFill="1"/>
    <xf numFmtId="2" fontId="3" fillId="2" borderId="0" xfId="2" applyNumberFormat="1" applyFill="1"/>
    <xf numFmtId="0" fontId="1" fillId="2" borderId="0" xfId="0" applyFont="1" applyFill="1"/>
    <xf numFmtId="0" fontId="1" fillId="0" borderId="14" xfId="0" applyFont="1" applyBorder="1"/>
    <xf numFmtId="0" fontId="1" fillId="0" borderId="16" xfId="0" applyFont="1" applyBorder="1"/>
    <xf numFmtId="165" fontId="20" fillId="2" borderId="2" xfId="0" applyNumberFormat="1" applyFont="1" applyFill="1" applyBorder="1"/>
    <xf numFmtId="2" fontId="0" fillId="0" borderId="0" xfId="0" applyNumberFormat="1"/>
    <xf numFmtId="0" fontId="3" fillId="0" borderId="0" xfId="2" applyAlignment="1">
      <alignment horizontal="center"/>
    </xf>
    <xf numFmtId="0" fontId="0" fillId="0" borderId="0" xfId="0" applyAlignment="1">
      <alignment horizontal="center"/>
    </xf>
    <xf numFmtId="9" fontId="0" fillId="7" borderId="2" xfId="3" applyFont="1" applyFill="1" applyBorder="1" applyProtection="1">
      <protection locked="0"/>
    </xf>
    <xf numFmtId="9" fontId="0" fillId="7" borderId="19" xfId="3" applyFont="1" applyFill="1" applyBorder="1" applyProtection="1">
      <protection locked="0"/>
    </xf>
    <xf numFmtId="9" fontId="0" fillId="7" borderId="10" xfId="3" applyFont="1" applyFill="1" applyBorder="1" applyProtection="1">
      <protection locked="0"/>
    </xf>
    <xf numFmtId="9" fontId="0" fillId="0" borderId="0" xfId="3" applyFont="1" applyFill="1" applyBorder="1" applyProtection="1">
      <protection locked="0"/>
    </xf>
    <xf numFmtId="9" fontId="5" fillId="5" borderId="0" xfId="3" applyFont="1" applyFill="1" applyProtection="1">
      <protection locked="0"/>
    </xf>
    <xf numFmtId="9" fontId="6" fillId="5" borderId="0" xfId="3" applyFont="1" applyFill="1" applyBorder="1" applyProtection="1">
      <protection locked="0"/>
    </xf>
    <xf numFmtId="9" fontId="5" fillId="5" borderId="0" xfId="3" applyFont="1" applyFill="1" applyBorder="1" applyProtection="1">
      <protection locked="0"/>
    </xf>
    <xf numFmtId="9" fontId="27" fillId="0" borderId="0" xfId="3" applyFont="1" applyProtection="1">
      <protection locked="0"/>
    </xf>
    <xf numFmtId="9" fontId="6" fillId="7" borderId="2" xfId="3" applyFont="1" applyFill="1" applyBorder="1" applyProtection="1">
      <protection locked="0"/>
    </xf>
    <xf numFmtId="9" fontId="5" fillId="7" borderId="2" xfId="3" applyFont="1" applyFill="1" applyBorder="1" applyProtection="1">
      <protection locked="0"/>
    </xf>
    <xf numFmtId="9" fontId="27" fillId="7" borderId="2" xfId="3" applyFont="1" applyFill="1" applyBorder="1" applyProtection="1">
      <protection locked="0"/>
    </xf>
    <xf numFmtId="0" fontId="0" fillId="7" borderId="3" xfId="0" applyFill="1" applyBorder="1" applyProtection="1">
      <protection locked="0"/>
    </xf>
    <xf numFmtId="0" fontId="0" fillId="7" borderId="4" xfId="0" applyFill="1" applyBorder="1" applyProtection="1">
      <protection locked="0"/>
    </xf>
    <xf numFmtId="0" fontId="0" fillId="7" borderId="5" xfId="0" applyFill="1" applyBorder="1" applyProtection="1">
      <protection locked="0"/>
    </xf>
    <xf numFmtId="2" fontId="0" fillId="0" borderId="2" xfId="0" applyNumberFormat="1" applyBorder="1" applyAlignment="1">
      <alignment horizontal="center"/>
    </xf>
    <xf numFmtId="0" fontId="27" fillId="0" borderId="0" xfId="0" applyFont="1"/>
    <xf numFmtId="0" fontId="15" fillId="0" borderId="0" xfId="0" applyFont="1"/>
    <xf numFmtId="0" fontId="6" fillId="0" borderId="7" xfId="0" applyFont="1" applyBorder="1"/>
    <xf numFmtId="2" fontId="0" fillId="0" borderId="0" xfId="0" applyNumberFormat="1" applyAlignment="1">
      <alignment horizontal="center"/>
    </xf>
    <xf numFmtId="0" fontId="6" fillId="0" borderId="9" xfId="0" applyFont="1" applyBorder="1"/>
    <xf numFmtId="0" fontId="26" fillId="0" borderId="0" xfId="0" applyFont="1"/>
    <xf numFmtId="9" fontId="6" fillId="5" borderId="0" xfId="3" applyFont="1" applyFill="1" applyProtection="1"/>
    <xf numFmtId="9" fontId="5" fillId="5" borderId="0" xfId="3" applyFont="1" applyFill="1" applyProtection="1"/>
    <xf numFmtId="0" fontId="26" fillId="0" borderId="1" xfId="0" applyFont="1" applyBorder="1"/>
    <xf numFmtId="0" fontId="9" fillId="0" borderId="0" xfId="0" applyFont="1" applyAlignment="1">
      <alignment horizontal="left" vertical="center" wrapText="1"/>
    </xf>
    <xf numFmtId="1" fontId="3" fillId="0" borderId="2" xfId="2" applyNumberFormat="1" applyBorder="1" applyAlignment="1">
      <alignment horizontal="center"/>
    </xf>
    <xf numFmtId="2" fontId="3" fillId="0" borderId="2" xfId="2" applyNumberFormat="1" applyBorder="1" applyAlignment="1">
      <alignment horizontal="center"/>
    </xf>
    <xf numFmtId="0" fontId="6" fillId="5" borderId="12" xfId="0" applyFont="1" applyFill="1" applyBorder="1"/>
    <xf numFmtId="0" fontId="6" fillId="5" borderId="13" xfId="0" applyFont="1" applyFill="1" applyBorder="1"/>
    <xf numFmtId="0" fontId="6" fillId="5" borderId="10" xfId="0" applyFont="1" applyFill="1" applyBorder="1"/>
    <xf numFmtId="9" fontId="4" fillId="0" borderId="0" xfId="3" applyFont="1" applyFill="1" applyBorder="1" applyProtection="1"/>
    <xf numFmtId="9" fontId="4" fillId="0" borderId="0" xfId="3" applyFont="1" applyFill="1" applyProtection="1"/>
    <xf numFmtId="0" fontId="9" fillId="0" borderId="0" xfId="0" applyFont="1" applyAlignment="1">
      <alignment vertical="center" wrapText="1"/>
    </xf>
    <xf numFmtId="0" fontId="6" fillId="5" borderId="9" xfId="0" applyFont="1" applyFill="1" applyBorder="1"/>
    <xf numFmtId="0" fontId="9" fillId="5" borderId="0" xfId="0" applyFont="1" applyFill="1" applyAlignment="1">
      <alignment vertical="center" wrapText="1"/>
    </xf>
    <xf numFmtId="0" fontId="8" fillId="5" borderId="0" xfId="0" applyFont="1" applyFill="1"/>
    <xf numFmtId="0" fontId="9" fillId="5" borderId="0" xfId="0" applyFont="1" applyFill="1"/>
    <xf numFmtId="0" fontId="9" fillId="0" borderId="0" xfId="0" applyFont="1" applyAlignment="1">
      <alignment horizontal="left" vertical="top" wrapText="1"/>
    </xf>
    <xf numFmtId="9" fontId="0" fillId="0" borderId="0" xfId="3" applyFont="1" applyFill="1" applyBorder="1" applyProtection="1"/>
    <xf numFmtId="0" fontId="6" fillId="5" borderId="8" xfId="0" applyFont="1" applyFill="1" applyBorder="1"/>
    <xf numFmtId="0" fontId="25" fillId="5" borderId="0" xfId="0" applyFont="1" applyFill="1"/>
    <xf numFmtId="0" fontId="25" fillId="0" borderId="0" xfId="0" applyFont="1"/>
    <xf numFmtId="0" fontId="24" fillId="0" borderId="0" xfId="0" applyFont="1"/>
    <xf numFmtId="0" fontId="6" fillId="5" borderId="7" xfId="0" applyFont="1" applyFill="1" applyBorder="1" applyAlignment="1">
      <alignment horizontal="left"/>
    </xf>
    <xf numFmtId="0" fontId="10" fillId="5" borderId="0" xfId="0" applyFont="1" applyFill="1"/>
    <xf numFmtId="0" fontId="18" fillId="5" borderId="1" xfId="0" applyFont="1" applyFill="1" applyBorder="1"/>
    <xf numFmtId="9" fontId="9" fillId="0" borderId="0" xfId="0" applyNumberFormat="1" applyFont="1" applyAlignment="1">
      <alignment horizontal="center" vertical="center"/>
    </xf>
    <xf numFmtId="0" fontId="9" fillId="0" borderId="0" xfId="0" applyFont="1" applyAlignment="1">
      <alignment horizontal="center" vertical="center"/>
    </xf>
    <xf numFmtId="9" fontId="6" fillId="0" borderId="0" xfId="3" applyFont="1" applyFill="1" applyBorder="1" applyAlignment="1" applyProtection="1">
      <alignment horizontal="center"/>
    </xf>
    <xf numFmtId="1" fontId="6" fillId="5" borderId="2" xfId="3" applyNumberFormat="1" applyFont="1" applyFill="1" applyBorder="1" applyProtection="1"/>
    <xf numFmtId="1" fontId="6" fillId="0" borderId="2" xfId="3" applyNumberFormat="1" applyFont="1" applyFill="1" applyBorder="1" applyAlignment="1" applyProtection="1">
      <alignment horizontal="center" vertical="center"/>
    </xf>
    <xf numFmtId="0" fontId="6" fillId="9" borderId="2" xfId="0" applyFont="1" applyFill="1" applyBorder="1"/>
    <xf numFmtId="2" fontId="6" fillId="0" borderId="0" xfId="3" applyNumberFormat="1" applyFont="1" applyFill="1" applyBorder="1" applyProtection="1"/>
    <xf numFmtId="2" fontId="6" fillId="5" borderId="0" xfId="0" applyNumberFormat="1" applyFont="1" applyFill="1"/>
    <xf numFmtId="0" fontId="5" fillId="5" borderId="0" xfId="0" applyFont="1" applyFill="1" applyAlignment="1">
      <alignment horizontal="left" vertical="center"/>
    </xf>
    <xf numFmtId="0" fontId="6" fillId="5" borderId="0" xfId="0" applyFont="1" applyFill="1" applyAlignment="1">
      <alignment horizontal="left" vertical="center"/>
    </xf>
    <xf numFmtId="0" fontId="12" fillId="5" borderId="0" xfId="0" applyFont="1" applyFill="1"/>
    <xf numFmtId="0" fontId="11" fillId="5" borderId="0" xfId="0" applyFont="1" applyFill="1"/>
    <xf numFmtId="0" fontId="20" fillId="5" borderId="1" xfId="0" applyFont="1" applyFill="1" applyBorder="1"/>
    <xf numFmtId="0" fontId="8" fillId="5" borderId="0" xfId="0" applyFont="1" applyFill="1" applyAlignment="1">
      <alignment horizontal="right"/>
    </xf>
    <xf numFmtId="9" fontId="6" fillId="5" borderId="3" xfId="3" applyFont="1" applyFill="1" applyBorder="1" applyAlignment="1">
      <alignment horizontal="center"/>
    </xf>
    <xf numFmtId="9" fontId="6" fillId="5" borderId="5" xfId="3" applyFont="1" applyFill="1" applyBorder="1" applyAlignment="1">
      <alignment horizontal="center"/>
    </xf>
    <xf numFmtId="9" fontId="6" fillId="5" borderId="3" xfId="3" applyFont="1" applyFill="1" applyBorder="1" applyAlignment="1" applyProtection="1">
      <alignment horizontal="center"/>
    </xf>
    <xf numFmtId="9" fontId="6" fillId="5" borderId="5" xfId="3" applyFont="1" applyFill="1" applyBorder="1" applyAlignment="1" applyProtection="1">
      <alignment horizontal="center"/>
    </xf>
    <xf numFmtId="0" fontId="6" fillId="6" borderId="0" xfId="0" applyFont="1" applyFill="1" applyAlignment="1">
      <alignment horizontal="left" vertical="top" wrapText="1"/>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8" fillId="5" borderId="0" xfId="0" applyFont="1" applyFill="1" applyAlignment="1">
      <alignment horizontal="right"/>
    </xf>
    <xf numFmtId="0" fontId="6" fillId="5" borderId="0" xfId="0" applyFont="1" applyFill="1" applyAlignment="1">
      <alignment horizontal="center" wrapText="1"/>
    </xf>
    <xf numFmtId="0" fontId="6" fillId="5" borderId="1" xfId="0" applyFont="1" applyFill="1" applyBorder="1" applyAlignment="1">
      <alignment horizontal="center" wrapText="1"/>
    </xf>
    <xf numFmtId="2" fontId="8" fillId="0" borderId="0" xfId="3" applyNumberFormat="1" applyFont="1" applyFill="1" applyBorder="1" applyAlignment="1" applyProtection="1">
      <alignment horizontal="right"/>
    </xf>
    <xf numFmtId="0" fontId="8" fillId="5" borderId="7" xfId="0" applyFont="1" applyFill="1" applyBorder="1" applyAlignment="1">
      <alignment horizontal="right"/>
    </xf>
    <xf numFmtId="9" fontId="9" fillId="0" borderId="7" xfId="0" applyNumberFormat="1" applyFont="1" applyBorder="1" applyAlignment="1">
      <alignment horizontal="center"/>
    </xf>
    <xf numFmtId="166" fontId="6" fillId="5" borderId="3" xfId="0" applyNumberFormat="1" applyFont="1" applyFill="1" applyBorder="1" applyAlignment="1">
      <alignment horizontal="center"/>
    </xf>
    <xf numFmtId="166" fontId="6" fillId="5" borderId="5" xfId="0" applyNumberFormat="1" applyFont="1" applyFill="1" applyBorder="1" applyAlignment="1">
      <alignment horizontal="center"/>
    </xf>
    <xf numFmtId="166" fontId="6" fillId="5" borderId="17" xfId="0" applyNumberFormat="1" applyFont="1" applyFill="1" applyBorder="1" applyAlignment="1">
      <alignment horizontal="center"/>
    </xf>
    <xf numFmtId="166" fontId="6" fillId="5" borderId="18" xfId="0" applyNumberFormat="1" applyFont="1" applyFill="1" applyBorder="1" applyAlignment="1">
      <alignment horizontal="center"/>
    </xf>
    <xf numFmtId="2" fontId="6" fillId="0" borderId="0" xfId="3" applyNumberFormat="1" applyFont="1" applyFill="1" applyBorder="1" applyAlignment="1" applyProtection="1">
      <alignment horizontal="center"/>
    </xf>
    <xf numFmtId="9" fontId="8" fillId="5" borderId="7" xfId="0" applyNumberFormat="1" applyFont="1" applyFill="1" applyBorder="1" applyAlignment="1">
      <alignment horizontal="right"/>
    </xf>
    <xf numFmtId="0" fontId="9" fillId="6" borderId="0" xfId="0" applyFont="1" applyFill="1" applyAlignment="1">
      <alignment horizontal="left" vertical="top" wrapText="1"/>
    </xf>
    <xf numFmtId="0" fontId="6" fillId="0" borderId="0" xfId="0" applyFont="1" applyAlignment="1">
      <alignment horizontal="center" wrapText="1"/>
    </xf>
    <xf numFmtId="9" fontId="6" fillId="0" borderId="12" xfId="3" applyFont="1" applyFill="1" applyBorder="1" applyAlignment="1" applyProtection="1">
      <alignment horizontal="center"/>
    </xf>
    <xf numFmtId="9" fontId="10" fillId="0" borderId="3" xfId="3" applyFont="1" applyBorder="1" applyAlignment="1" applyProtection="1">
      <alignment horizontal="center"/>
    </xf>
    <xf numFmtId="9" fontId="10" fillId="0" borderId="5" xfId="3" applyFont="1" applyBorder="1" applyAlignment="1" applyProtection="1">
      <alignment horizontal="center"/>
    </xf>
    <xf numFmtId="9" fontId="6" fillId="5" borderId="20" xfId="0" applyNumberFormat="1" applyFont="1" applyFill="1" applyBorder="1" applyAlignment="1">
      <alignment horizontal="center"/>
    </xf>
    <xf numFmtId="9" fontId="6" fillId="5" borderId="11" xfId="0" applyNumberFormat="1" applyFont="1" applyFill="1" applyBorder="1" applyAlignment="1">
      <alignment horizontal="center"/>
    </xf>
    <xf numFmtId="2" fontId="6" fillId="5" borderId="3" xfId="0" applyNumberFormat="1" applyFont="1" applyFill="1" applyBorder="1" applyAlignment="1">
      <alignment horizontal="center"/>
    </xf>
    <xf numFmtId="2" fontId="6" fillId="5" borderId="5" xfId="0" applyNumberFormat="1" applyFont="1" applyFill="1" applyBorder="1" applyAlignment="1">
      <alignment horizontal="center"/>
    </xf>
    <xf numFmtId="0" fontId="6" fillId="5" borderId="1" xfId="0" applyFont="1" applyFill="1" applyBorder="1" applyAlignment="1">
      <alignment horizontal="center"/>
    </xf>
    <xf numFmtId="9" fontId="8" fillId="5" borderId="7" xfId="3" applyFont="1" applyFill="1" applyBorder="1" applyAlignment="1" applyProtection="1">
      <alignment horizontal="right"/>
    </xf>
    <xf numFmtId="0" fontId="8" fillId="7" borderId="2" xfId="0" applyFont="1" applyFill="1" applyBorder="1" applyAlignment="1" applyProtection="1">
      <alignment horizontal="center"/>
      <protection locked="0"/>
    </xf>
    <xf numFmtId="0" fontId="6" fillId="0" borderId="6" xfId="0" applyFont="1" applyBorder="1" applyAlignment="1">
      <alignment horizontal="left"/>
    </xf>
    <xf numFmtId="0" fontId="6" fillId="0" borderId="7" xfId="0" applyFont="1" applyBorder="1" applyAlignment="1">
      <alignment horizontal="left"/>
    </xf>
    <xf numFmtId="0" fontId="6" fillId="0" borderId="8" xfId="0" applyFont="1" applyBorder="1" applyAlignment="1">
      <alignment horizontal="left"/>
    </xf>
    <xf numFmtId="0" fontId="6" fillId="5" borderId="1" xfId="0" applyFont="1" applyFill="1" applyBorder="1" applyAlignment="1">
      <alignment vertical="center" wrapText="1"/>
    </xf>
    <xf numFmtId="0" fontId="6" fillId="5" borderId="1" xfId="0" applyFont="1" applyFill="1" applyBorder="1" applyAlignment="1">
      <alignment vertical="center"/>
    </xf>
    <xf numFmtId="0" fontId="6" fillId="6" borderId="0" xfId="0" applyFont="1" applyFill="1" applyAlignment="1">
      <alignment horizontal="left" vertical="top"/>
    </xf>
    <xf numFmtId="0" fontId="8" fillId="0" borderId="0" xfId="0" applyFont="1" applyAlignment="1">
      <alignment horizontal="left"/>
    </xf>
    <xf numFmtId="0" fontId="6" fillId="5" borderId="3" xfId="0" applyFont="1" applyFill="1" applyBorder="1" applyAlignment="1">
      <alignment horizontal="left"/>
    </xf>
    <xf numFmtId="0" fontId="6" fillId="5" borderId="4" xfId="0" applyFont="1" applyFill="1" applyBorder="1" applyAlignment="1">
      <alignment horizontal="left"/>
    </xf>
    <xf numFmtId="0" fontId="6" fillId="5" borderId="5" xfId="0" applyFont="1" applyFill="1" applyBorder="1" applyAlignment="1">
      <alignment horizontal="left"/>
    </xf>
    <xf numFmtId="9" fontId="6" fillId="0" borderId="19" xfId="3" applyFont="1" applyFill="1" applyBorder="1" applyAlignment="1" applyProtection="1">
      <alignment horizontal="center"/>
    </xf>
    <xf numFmtId="9" fontId="9" fillId="5" borderId="3" xfId="0" applyNumberFormat="1" applyFont="1" applyFill="1" applyBorder="1" applyAlignment="1">
      <alignment horizontal="center" vertical="center"/>
    </xf>
    <xf numFmtId="0" fontId="9" fillId="5" borderId="5" xfId="0" applyFont="1" applyFill="1" applyBorder="1" applyAlignment="1">
      <alignment horizontal="center" vertical="center"/>
    </xf>
    <xf numFmtId="9" fontId="6" fillId="3" borderId="3" xfId="3" applyFont="1" applyFill="1" applyBorder="1" applyAlignment="1" applyProtection="1">
      <alignment horizontal="center"/>
    </xf>
    <xf numFmtId="9" fontId="6" fillId="3" borderId="4" xfId="3" applyFont="1" applyFill="1" applyBorder="1" applyAlignment="1" applyProtection="1">
      <alignment horizontal="center"/>
    </xf>
    <xf numFmtId="9" fontId="6" fillId="3" borderId="5" xfId="3" applyFont="1" applyFill="1" applyBorder="1" applyAlignment="1" applyProtection="1">
      <alignment horizontal="center"/>
    </xf>
    <xf numFmtId="9" fontId="9" fillId="5" borderId="6" xfId="0" applyNumberFormat="1" applyFont="1" applyFill="1" applyBorder="1" applyAlignment="1">
      <alignment horizontal="center" vertical="center"/>
    </xf>
    <xf numFmtId="0" fontId="9" fillId="5" borderId="8" xfId="0" applyFont="1" applyFill="1" applyBorder="1" applyAlignment="1">
      <alignment horizontal="center" vertical="center"/>
    </xf>
    <xf numFmtId="9" fontId="6" fillId="3" borderId="6" xfId="3" applyFont="1" applyFill="1" applyBorder="1" applyAlignment="1" applyProtection="1">
      <alignment horizontal="center"/>
    </xf>
    <xf numFmtId="9" fontId="6" fillId="3" borderId="7" xfId="3" applyFont="1" applyFill="1" applyBorder="1" applyAlignment="1" applyProtection="1">
      <alignment horizontal="center"/>
    </xf>
    <xf numFmtId="9" fontId="6" fillId="3" borderId="8" xfId="3" applyFont="1" applyFill="1" applyBorder="1" applyAlignment="1" applyProtection="1">
      <alignment horizontal="center"/>
    </xf>
    <xf numFmtId="0" fontId="3" fillId="0" borderId="0" xfId="2" applyAlignment="1">
      <alignment horizontal="center"/>
    </xf>
    <xf numFmtId="0" fontId="0" fillId="0" borderId="0" xfId="0" applyAlignment="1">
      <alignment horizontal="center"/>
    </xf>
    <xf numFmtId="165" fontId="6" fillId="0" borderId="3" xfId="0" applyNumberFormat="1" applyFont="1" applyBorder="1" applyAlignment="1">
      <alignment horizontal="center"/>
    </xf>
    <xf numFmtId="165" fontId="6" fillId="0" borderId="4" xfId="0" applyNumberFormat="1" applyFont="1" applyBorder="1" applyAlignment="1">
      <alignment horizontal="center"/>
    </xf>
    <xf numFmtId="0" fontId="8" fillId="7" borderId="3" xfId="0" applyFont="1" applyFill="1" applyBorder="1" applyAlignment="1" applyProtection="1">
      <alignment horizontal="center"/>
      <protection locked="0"/>
    </xf>
    <xf numFmtId="0" fontId="8" fillId="7" borderId="5" xfId="0" applyFont="1" applyFill="1" applyBorder="1" applyAlignment="1" applyProtection="1">
      <alignment horizontal="center"/>
      <protection locked="0"/>
    </xf>
    <xf numFmtId="0" fontId="17" fillId="7" borderId="3" xfId="0" applyFont="1" applyFill="1" applyBorder="1" applyAlignment="1">
      <alignment horizontal="center"/>
    </xf>
    <xf numFmtId="0" fontId="17" fillId="7" borderId="4" xfId="0" applyFont="1" applyFill="1" applyBorder="1" applyAlignment="1">
      <alignment horizontal="center"/>
    </xf>
    <xf numFmtId="0" fontId="17" fillId="7" borderId="5" xfId="0" applyFont="1" applyFill="1" applyBorder="1" applyAlignment="1">
      <alignment horizontal="center"/>
    </xf>
    <xf numFmtId="165" fontId="6" fillId="5" borderId="2" xfId="0" applyNumberFormat="1" applyFont="1" applyFill="1" applyBorder="1" applyAlignment="1">
      <alignment horizontal="center"/>
    </xf>
    <xf numFmtId="3" fontId="8" fillId="7" borderId="3" xfId="0" applyNumberFormat="1" applyFont="1" applyFill="1" applyBorder="1" applyAlignment="1" applyProtection="1">
      <alignment horizontal="center"/>
      <protection locked="0"/>
    </xf>
    <xf numFmtId="0" fontId="5" fillId="5" borderId="1" xfId="0" applyFont="1" applyFill="1" applyBorder="1" applyAlignment="1">
      <alignment horizontal="center" wrapText="1"/>
    </xf>
    <xf numFmtId="0" fontId="9" fillId="6" borderId="0" xfId="0" applyFont="1" applyFill="1" applyAlignment="1">
      <alignment horizontal="center" vertical="top" wrapText="1"/>
    </xf>
    <xf numFmtId="165" fontId="20" fillId="3" borderId="2" xfId="0" applyNumberFormat="1" applyFont="1" applyFill="1" applyBorder="1" applyAlignment="1">
      <alignment horizontal="center"/>
    </xf>
    <xf numFmtId="0" fontId="20" fillId="3" borderId="2" xfId="0" applyFont="1" applyFill="1" applyBorder="1" applyAlignment="1">
      <alignment horizontal="center"/>
    </xf>
    <xf numFmtId="165" fontId="21" fillId="0" borderId="3" xfId="0" applyNumberFormat="1" applyFont="1" applyBorder="1" applyAlignment="1">
      <alignment horizontal="center"/>
    </xf>
    <xf numFmtId="165" fontId="21" fillId="0" borderId="4" xfId="0" applyNumberFormat="1" applyFont="1" applyBorder="1" applyAlignment="1">
      <alignment horizontal="center"/>
    </xf>
    <xf numFmtId="0" fontId="14" fillId="5" borderId="2" xfId="0" applyFont="1" applyFill="1" applyBorder="1" applyAlignment="1">
      <alignment horizontal="center"/>
    </xf>
    <xf numFmtId="0" fontId="19" fillId="5" borderId="2" xfId="0" applyFont="1" applyFill="1" applyBorder="1" applyAlignment="1">
      <alignment horizontal="center"/>
    </xf>
    <xf numFmtId="0" fontId="21" fillId="0" borderId="3" xfId="0" applyFont="1" applyBorder="1" applyAlignment="1">
      <alignment horizontal="center"/>
    </xf>
    <xf numFmtId="0" fontId="21" fillId="0" borderId="5" xfId="0" applyFont="1" applyBorder="1" applyAlignment="1">
      <alignment horizontal="center"/>
    </xf>
    <xf numFmtId="0" fontId="20" fillId="5" borderId="7" xfId="0" applyFont="1" applyFill="1" applyBorder="1" applyAlignment="1">
      <alignment horizontal="center" vertical="center"/>
    </xf>
    <xf numFmtId="0" fontId="20" fillId="5" borderId="8" xfId="0" applyFont="1" applyFill="1" applyBorder="1" applyAlignment="1">
      <alignment horizontal="center" vertical="center"/>
    </xf>
    <xf numFmtId="0" fontId="20" fillId="5" borderId="0" xfId="0" applyFont="1" applyFill="1" applyAlignment="1">
      <alignment horizontal="center" vertical="center"/>
    </xf>
    <xf numFmtId="0" fontId="20" fillId="5" borderId="9" xfId="0" applyFont="1" applyFill="1" applyBorder="1" applyAlignment="1">
      <alignment horizontal="center" vertical="center"/>
    </xf>
    <xf numFmtId="0" fontId="20" fillId="5" borderId="1" xfId="0" applyFont="1" applyFill="1" applyBorder="1" applyAlignment="1">
      <alignment horizontal="center" vertical="center"/>
    </xf>
    <xf numFmtId="0" fontId="20" fillId="5" borderId="11" xfId="0" applyFont="1" applyFill="1" applyBorder="1" applyAlignment="1">
      <alignment horizontal="center" vertical="center"/>
    </xf>
    <xf numFmtId="165" fontId="14" fillId="5" borderId="2" xfId="0" applyNumberFormat="1" applyFont="1" applyFill="1" applyBorder="1" applyAlignment="1">
      <alignment horizontal="center" vertical="center"/>
    </xf>
    <xf numFmtId="165" fontId="14" fillId="5" borderId="3" xfId="0" applyNumberFormat="1" applyFont="1" applyFill="1" applyBorder="1" applyAlignment="1">
      <alignment horizontal="center" vertical="center"/>
    </xf>
    <xf numFmtId="165" fontId="14" fillId="5" borderId="5" xfId="0" applyNumberFormat="1" applyFont="1" applyFill="1" applyBorder="1" applyAlignment="1">
      <alignment horizontal="center" vertical="center"/>
    </xf>
    <xf numFmtId="0" fontId="5" fillId="5" borderId="2" xfId="0" applyFont="1" applyFill="1" applyBorder="1" applyAlignment="1">
      <alignment horizontal="center"/>
    </xf>
    <xf numFmtId="0" fontId="5" fillId="5" borderId="10" xfId="0" applyFont="1" applyFill="1" applyBorder="1" applyAlignment="1">
      <alignment horizontal="center"/>
    </xf>
    <xf numFmtId="0" fontId="17" fillId="5" borderId="2" xfId="0" applyFont="1" applyFill="1" applyBorder="1" applyAlignment="1">
      <alignment horizontal="center"/>
    </xf>
    <xf numFmtId="0" fontId="20" fillId="5" borderId="0" xfId="0" applyFont="1" applyFill="1" applyAlignment="1">
      <alignment horizontal="center" wrapText="1"/>
    </xf>
    <xf numFmtId="0" fontId="20" fillId="5" borderId="1" xfId="0" applyFont="1" applyFill="1" applyBorder="1" applyAlignment="1">
      <alignment horizontal="center" wrapText="1"/>
    </xf>
    <xf numFmtId="0" fontId="20" fillId="5" borderId="7" xfId="0" applyFont="1" applyFill="1" applyBorder="1" applyAlignment="1">
      <alignment horizontal="center" vertical="center" wrapText="1"/>
    </xf>
    <xf numFmtId="0" fontId="20" fillId="5" borderId="8" xfId="0" applyFont="1" applyFill="1" applyBorder="1" applyAlignment="1">
      <alignment horizontal="center" vertical="center" wrapText="1"/>
    </xf>
    <xf numFmtId="0" fontId="20" fillId="5" borderId="0" xfId="0" applyFont="1" applyFill="1" applyAlignment="1">
      <alignment horizontal="center" vertical="center" wrapText="1"/>
    </xf>
    <xf numFmtId="0" fontId="20" fillId="5" borderId="9"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11" xfId="0" applyFont="1" applyFill="1" applyBorder="1" applyAlignment="1">
      <alignment horizontal="center" vertical="center" wrapText="1"/>
    </xf>
    <xf numFmtId="0" fontId="17" fillId="5" borderId="0" xfId="0" applyFont="1" applyFill="1" applyAlignment="1">
      <alignment horizontal="center" wrapText="1"/>
    </xf>
    <xf numFmtId="0" fontId="14" fillId="5" borderId="0" xfId="0" applyFont="1" applyFill="1" applyAlignment="1">
      <alignment horizontal="center" wrapText="1"/>
    </xf>
    <xf numFmtId="165" fontId="20" fillId="5" borderId="2" xfId="0" applyNumberFormat="1" applyFont="1" applyFill="1" applyBorder="1" applyAlignment="1">
      <alignment horizontal="center"/>
    </xf>
    <xf numFmtId="0" fontId="20" fillId="5" borderId="2" xfId="0" applyFont="1" applyFill="1" applyBorder="1" applyAlignment="1">
      <alignment horizontal="center"/>
    </xf>
    <xf numFmtId="9" fontId="6" fillId="5" borderId="0" xfId="3" applyFont="1" applyFill="1"/>
    <xf numFmtId="9" fontId="6" fillId="0" borderId="2" xfId="3" applyFont="1" applyFill="1" applyBorder="1" applyAlignment="1">
      <alignment horizontal="center"/>
    </xf>
    <xf numFmtId="2" fontId="8" fillId="0" borderId="0" xfId="3" applyNumberFormat="1" applyFont="1" applyFill="1" applyBorder="1" applyAlignment="1">
      <alignment horizontal="right"/>
    </xf>
    <xf numFmtId="9" fontId="4" fillId="0" borderId="0" xfId="3" applyFont="1" applyFill="1" applyBorder="1" applyProtection="1">
      <protection locked="0"/>
    </xf>
    <xf numFmtId="9" fontId="4" fillId="7" borderId="2" xfId="3" applyFont="1" applyFill="1" applyBorder="1" applyProtection="1">
      <protection locked="0"/>
    </xf>
    <xf numFmtId="9" fontId="6" fillId="0" borderId="12" xfId="3" applyFont="1" applyBorder="1" applyAlignment="1">
      <alignment horizontal="center"/>
    </xf>
    <xf numFmtId="2" fontId="8" fillId="0" borderId="7" xfId="3" applyNumberFormat="1" applyFont="1" applyFill="1" applyBorder="1" applyAlignment="1">
      <alignment horizontal="right"/>
    </xf>
    <xf numFmtId="9" fontId="4" fillId="0" borderId="0" xfId="3" applyFont="1"/>
    <xf numFmtId="2" fontId="8" fillId="0" borderId="0" xfId="3" applyNumberFormat="1" applyFont="1" applyFill="1" applyBorder="1" applyAlignment="1">
      <alignment horizontal="right"/>
    </xf>
    <xf numFmtId="164" fontId="0" fillId="2" borderId="0" xfId="0" applyNumberFormat="1" applyFill="1"/>
    <xf numFmtId="0" fontId="0" fillId="0" borderId="0" xfId="0" applyFill="1"/>
    <xf numFmtId="2" fontId="3" fillId="0" borderId="0" xfId="2" applyNumberFormat="1"/>
    <xf numFmtId="1" fontId="0" fillId="0" borderId="0" xfId="0" applyNumberFormat="1"/>
  </cellXfs>
  <cellStyles count="4">
    <cellStyle name="Normal" xfId="0" builtinId="0"/>
    <cellStyle name="Normal 2" xfId="1" xr:uid="{F40257E6-EB5B-4056-91C4-80B420ABB594}"/>
    <cellStyle name="Normal 3" xfId="2" xr:uid="{E9DEE174-B3ED-4D3C-BDDA-699D04021E7E}"/>
    <cellStyle name="Percent" xfId="3" builtinId="5"/>
  </cellStyles>
  <dxfs count="10">
    <dxf>
      <font>
        <color rgb="FFC00000"/>
      </font>
      <fill>
        <patternFill>
          <bgColor rgb="FFFFC1C1"/>
        </patternFill>
      </fill>
    </dxf>
    <dxf>
      <font>
        <color theme="0"/>
      </font>
      <fill>
        <patternFill>
          <bgColor theme="0"/>
        </patternFill>
      </fill>
      <border>
        <left/>
        <right/>
        <top/>
        <bottom/>
        <vertical/>
        <horizontal/>
      </border>
    </dxf>
    <dxf>
      <font>
        <color rgb="FFC00000"/>
      </font>
      <fill>
        <patternFill>
          <bgColor rgb="FFFFC1C1"/>
        </patternFill>
      </fill>
    </dxf>
    <dxf>
      <font>
        <color rgb="FFC00000"/>
      </font>
      <fill>
        <patternFill>
          <bgColor rgb="FFFFC1C1"/>
        </patternFill>
      </fill>
    </dxf>
    <dxf>
      <font>
        <color rgb="FFC00000"/>
      </font>
      <fill>
        <patternFill>
          <bgColor rgb="FFFFC1C1"/>
        </patternFill>
      </fill>
    </dxf>
    <dxf>
      <font>
        <color rgb="FFC00000"/>
      </font>
      <fill>
        <patternFill>
          <bgColor rgb="FFFFC1C1"/>
        </patternFill>
      </fill>
    </dxf>
    <dxf>
      <fill>
        <patternFill patternType="none">
          <bgColor auto="1"/>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ont>
        <color theme="0"/>
      </font>
      <fill>
        <patternFill patternType="none">
          <bgColor auto="1"/>
        </patternFill>
      </fill>
      <border>
        <left/>
        <right/>
        <top/>
        <bottom/>
        <vertical/>
        <horizontal/>
      </border>
    </dxf>
  </dxfs>
  <tableStyles count="0" defaultTableStyle="TableStyleMedium2" defaultPivotStyle="PivotStyleLight16"/>
  <colors>
    <mruColors>
      <color rgb="FFC8D5EA"/>
      <color rgb="FFA6BBDE"/>
      <color rgb="FF5881C1"/>
      <color rgb="FFF9BF07"/>
      <color rgb="FF2C2825"/>
      <color rgb="FFEC6555"/>
      <color rgb="FFFFE389"/>
      <color rgb="FFFFC1C1"/>
      <color rgb="FF686F73"/>
      <color rgb="FFFF8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Proportion of Initial HHD Allocation 2010-2022 Average</c:v>
          </c:tx>
          <c:spPr>
            <a:solidFill>
              <a:srgbClr val="5881C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1AF0-4C55-AB83-4928713AFFEE}"/>
              </c:ext>
            </c:extLst>
          </c:dPt>
          <c:dPt>
            <c:idx val="1"/>
            <c:invertIfNegative val="0"/>
            <c:bubble3D val="0"/>
            <c:spPr>
              <a:solidFill>
                <a:srgbClr val="FFC000"/>
              </a:solidFill>
              <a:ln>
                <a:noFill/>
              </a:ln>
              <a:effectLst/>
            </c:spPr>
            <c:extLst>
              <c:ext xmlns:c16="http://schemas.microsoft.com/office/drawing/2014/chart" uri="{C3380CC4-5D6E-409C-BE32-E72D297353CC}">
                <c16:uniqueId val="{00000003-1AF0-4C55-AB83-4928713AFFEE}"/>
              </c:ext>
            </c:extLst>
          </c:dPt>
          <c:cat>
            <c:strLit>
              <c:ptCount val="11"/>
              <c:pt idx="0">
                <c:v>Enlgand</c:v>
              </c:pt>
              <c:pt idx="1">
                <c:v>Midlands</c:v>
              </c:pt>
              <c:pt idx="2">
                <c:v>Stoke</c:v>
              </c:pt>
              <c:pt idx="3">
                <c:v>Leic</c:v>
              </c:pt>
              <c:pt idx="4">
                <c:v>Derby</c:v>
              </c:pt>
              <c:pt idx="5">
                <c:v>Bham</c:v>
              </c:pt>
              <c:pt idx="6">
                <c:v>Shrew</c:v>
              </c:pt>
              <c:pt idx="7">
                <c:v>Nottm</c:v>
              </c:pt>
              <c:pt idx="8">
                <c:v>Covnt</c:v>
              </c:pt>
              <c:pt idx="9">
                <c:v>Wolve</c:v>
              </c:pt>
              <c:pt idx="10">
                <c:v>Dudley</c:v>
              </c:pt>
            </c:strLit>
          </c:cat>
          <c:val>
            <c:numLit>
              <c:formatCode>General</c:formatCode>
              <c:ptCount val="11"/>
              <c:pt idx="0">
                <c:v>2.8197999999999999E-3</c:v>
              </c:pt>
              <c:pt idx="1">
                <c:v>4.6920820000000002E-3</c:v>
              </c:pt>
              <c:pt idx="2">
                <c:v>3.8051750000000001E-3</c:v>
              </c:pt>
              <c:pt idx="3">
                <c:v>5.8823529999999999E-4</c:v>
              </c:pt>
              <c:pt idx="4">
                <c:v>1.298701E-2</c:v>
              </c:pt>
              <c:pt idx="5">
                <c:v>2.1629420000000002E-3</c:v>
              </c:pt>
              <c:pt idx="6">
                <c:v>1.5873020000000002E-2</c:v>
              </c:pt>
              <c:pt idx="7">
                <c:v>0</c:v>
              </c:pt>
              <c:pt idx="8">
                <c:v>2.0604400000000002E-3</c:v>
              </c:pt>
              <c:pt idx="9">
                <c:v>2.1648629999999999E-2</c:v>
              </c:pt>
              <c:pt idx="10">
                <c:v>3.0395140000000001E-3</c:v>
              </c:pt>
            </c:numLit>
          </c:val>
          <c:extLst>
            <c:ext xmlns:c16="http://schemas.microsoft.com/office/drawing/2014/chart" uri="{C3380CC4-5D6E-409C-BE32-E72D297353CC}">
              <c16:uniqueId val="{00000004-1AF0-4C55-AB83-4928713AFFEE}"/>
            </c:ext>
          </c:extLst>
        </c:ser>
        <c:dLbls>
          <c:showLegendKey val="0"/>
          <c:showVal val="0"/>
          <c:showCatName val="0"/>
          <c:showSerName val="0"/>
          <c:showPercent val="0"/>
          <c:showBubbleSize val="0"/>
        </c:dLbls>
        <c:gapWidth val="219"/>
        <c:overlap val="-27"/>
        <c:axId val="979614735"/>
        <c:axId val="979615215"/>
      </c:barChart>
      <c:catAx>
        <c:axId val="979614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5215"/>
        <c:crosses val="autoZero"/>
        <c:auto val="1"/>
        <c:lblAlgn val="ctr"/>
        <c:lblOffset val="100"/>
        <c:noMultiLvlLbl val="0"/>
      </c:catAx>
      <c:valAx>
        <c:axId val="979615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Proportion of Initial PD Allocation 2010-2022 Average</c:v>
          </c:tx>
          <c:spPr>
            <a:solidFill>
              <a:srgbClr val="5881C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1-7DD6-46B4-9A1F-F1B31DC00ADC}"/>
              </c:ext>
            </c:extLst>
          </c:dPt>
          <c:dPt>
            <c:idx val="1"/>
            <c:invertIfNegative val="0"/>
            <c:bubble3D val="0"/>
            <c:spPr>
              <a:solidFill>
                <a:srgbClr val="FFC000"/>
              </a:solidFill>
              <a:ln>
                <a:noFill/>
              </a:ln>
              <a:effectLst/>
            </c:spPr>
            <c:extLst>
              <c:ext xmlns:c16="http://schemas.microsoft.com/office/drawing/2014/chart" uri="{C3380CC4-5D6E-409C-BE32-E72D297353CC}">
                <c16:uniqueId val="{00000003-7DD6-46B4-9A1F-F1B31DC00ADC}"/>
              </c:ext>
            </c:extLst>
          </c:dPt>
          <c:cat>
            <c:strLit>
              <c:ptCount val="11"/>
              <c:pt idx="0">
                <c:v>Enlgand</c:v>
              </c:pt>
              <c:pt idx="1">
                <c:v>Midlands</c:v>
              </c:pt>
              <c:pt idx="2">
                <c:v>Stoke</c:v>
              </c:pt>
              <c:pt idx="3">
                <c:v>Leic</c:v>
              </c:pt>
              <c:pt idx="4">
                <c:v>Derby</c:v>
              </c:pt>
              <c:pt idx="5">
                <c:v>Bham</c:v>
              </c:pt>
              <c:pt idx="6">
                <c:v>Shrew</c:v>
              </c:pt>
              <c:pt idx="7">
                <c:v>Nottm</c:v>
              </c:pt>
              <c:pt idx="8">
                <c:v>Covnt</c:v>
              </c:pt>
              <c:pt idx="9">
                <c:v>Wolve</c:v>
              </c:pt>
              <c:pt idx="10">
                <c:v>Dudley</c:v>
              </c:pt>
            </c:strLit>
          </c:cat>
          <c:val>
            <c:numLit>
              <c:formatCode>General</c:formatCode>
              <c:ptCount val="11"/>
              <c:pt idx="0">
                <c:v>0.2147993</c:v>
              </c:pt>
              <c:pt idx="1">
                <c:v>0.25109156100000002</c:v>
              </c:pt>
              <c:pt idx="2">
                <c:v>0.29756468800000002</c:v>
              </c:pt>
              <c:pt idx="3">
                <c:v>0.18647058820000001</c:v>
              </c:pt>
              <c:pt idx="4">
                <c:v>0.37162836999999999</c:v>
              </c:pt>
              <c:pt idx="5">
                <c:v>0.223503965</c:v>
              </c:pt>
              <c:pt idx="6">
                <c:v>0.31084655999999999</c:v>
              </c:pt>
              <c:pt idx="7">
                <c:v>0.30901289999999998</c:v>
              </c:pt>
              <c:pt idx="8">
                <c:v>0.24587912000000001</c:v>
              </c:pt>
              <c:pt idx="9">
                <c:v>0.28226477999999999</c:v>
              </c:pt>
              <c:pt idx="10">
                <c:v>0.24620060799999999</c:v>
              </c:pt>
            </c:numLit>
          </c:val>
          <c:extLst>
            <c:ext xmlns:c16="http://schemas.microsoft.com/office/drawing/2014/chart" uri="{C3380CC4-5D6E-409C-BE32-E72D297353CC}">
              <c16:uniqueId val="{00000004-7DD6-46B4-9A1F-F1B31DC00ADC}"/>
            </c:ext>
          </c:extLst>
        </c:ser>
        <c:dLbls>
          <c:showLegendKey val="0"/>
          <c:showVal val="0"/>
          <c:showCatName val="0"/>
          <c:showSerName val="0"/>
          <c:showPercent val="0"/>
          <c:showBubbleSize val="0"/>
        </c:dLbls>
        <c:gapWidth val="219"/>
        <c:overlap val="-27"/>
        <c:axId val="979642095"/>
        <c:axId val="979645935"/>
      </c:barChart>
      <c:catAx>
        <c:axId val="97964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5935"/>
        <c:crosses val="autoZero"/>
        <c:auto val="1"/>
        <c:lblAlgn val="ctr"/>
        <c:lblOffset val="100"/>
        <c:noMultiLvlLbl val="0"/>
      </c:catAx>
      <c:valAx>
        <c:axId val="979645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2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Probability of Late Presentation </a:t>
            </a:r>
          </a:p>
          <a:p>
            <a:pPr>
              <a:defRPr/>
            </a:pPr>
            <a:r>
              <a:rPr lang="en-US"/>
              <a:t>2010-2022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Proportion of Late Presentation 2010-2022 Average</c:v>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EF82-46BB-86E1-B2AB93092E1F}"/>
              </c:ext>
            </c:extLst>
          </c:dPt>
          <c:dPt>
            <c:idx val="1"/>
            <c:invertIfNegative val="0"/>
            <c:bubble3D val="0"/>
            <c:spPr>
              <a:solidFill>
                <a:srgbClr val="FFC000"/>
              </a:solidFill>
              <a:ln>
                <a:noFill/>
              </a:ln>
              <a:effectLst/>
            </c:spPr>
            <c:extLst>
              <c:ext xmlns:c16="http://schemas.microsoft.com/office/drawing/2014/chart" uri="{C3380CC4-5D6E-409C-BE32-E72D297353CC}">
                <c16:uniqueId val="{00000001-EF82-46BB-86E1-B2AB93092E1F}"/>
              </c:ext>
            </c:extLst>
          </c:dPt>
          <c:dPt>
            <c:idx val="2"/>
            <c:invertIfNegative val="0"/>
            <c:bubble3D val="0"/>
            <c:spPr>
              <a:solidFill>
                <a:srgbClr val="5881C1"/>
              </a:solidFill>
              <a:ln>
                <a:noFill/>
              </a:ln>
              <a:effectLst/>
            </c:spPr>
            <c:extLst>
              <c:ext xmlns:c16="http://schemas.microsoft.com/office/drawing/2014/chart" uri="{C3380CC4-5D6E-409C-BE32-E72D297353CC}">
                <c16:uniqueId val="{00000002-EF82-46BB-86E1-B2AB93092E1F}"/>
              </c:ext>
            </c:extLst>
          </c:dPt>
          <c:dPt>
            <c:idx val="3"/>
            <c:invertIfNegative val="0"/>
            <c:bubble3D val="0"/>
            <c:spPr>
              <a:solidFill>
                <a:srgbClr val="5881C1"/>
              </a:solidFill>
              <a:ln>
                <a:noFill/>
              </a:ln>
              <a:effectLst/>
            </c:spPr>
            <c:extLst>
              <c:ext xmlns:c16="http://schemas.microsoft.com/office/drawing/2014/chart" uri="{C3380CC4-5D6E-409C-BE32-E72D297353CC}">
                <c16:uniqueId val="{00000003-EF82-46BB-86E1-B2AB93092E1F}"/>
              </c:ext>
            </c:extLst>
          </c:dPt>
          <c:dPt>
            <c:idx val="4"/>
            <c:invertIfNegative val="0"/>
            <c:bubble3D val="0"/>
            <c:spPr>
              <a:solidFill>
                <a:srgbClr val="5881C1"/>
              </a:solidFill>
              <a:ln>
                <a:noFill/>
              </a:ln>
              <a:effectLst/>
            </c:spPr>
            <c:extLst>
              <c:ext xmlns:c16="http://schemas.microsoft.com/office/drawing/2014/chart" uri="{C3380CC4-5D6E-409C-BE32-E72D297353CC}">
                <c16:uniqueId val="{00000004-EF82-46BB-86E1-B2AB93092E1F}"/>
              </c:ext>
            </c:extLst>
          </c:dPt>
          <c:dPt>
            <c:idx val="5"/>
            <c:invertIfNegative val="0"/>
            <c:bubble3D val="0"/>
            <c:spPr>
              <a:solidFill>
                <a:srgbClr val="5881C1"/>
              </a:solidFill>
              <a:ln>
                <a:noFill/>
              </a:ln>
              <a:effectLst/>
            </c:spPr>
            <c:extLst>
              <c:ext xmlns:c16="http://schemas.microsoft.com/office/drawing/2014/chart" uri="{C3380CC4-5D6E-409C-BE32-E72D297353CC}">
                <c16:uniqueId val="{00000005-EF82-46BB-86E1-B2AB93092E1F}"/>
              </c:ext>
            </c:extLst>
          </c:dPt>
          <c:dPt>
            <c:idx val="6"/>
            <c:invertIfNegative val="0"/>
            <c:bubble3D val="0"/>
            <c:spPr>
              <a:solidFill>
                <a:srgbClr val="5881C1"/>
              </a:solidFill>
              <a:ln>
                <a:noFill/>
              </a:ln>
              <a:effectLst/>
            </c:spPr>
            <c:extLst>
              <c:ext xmlns:c16="http://schemas.microsoft.com/office/drawing/2014/chart" uri="{C3380CC4-5D6E-409C-BE32-E72D297353CC}">
                <c16:uniqueId val="{00000006-EF82-46BB-86E1-B2AB93092E1F}"/>
              </c:ext>
            </c:extLst>
          </c:dPt>
          <c:dPt>
            <c:idx val="7"/>
            <c:invertIfNegative val="0"/>
            <c:bubble3D val="0"/>
            <c:spPr>
              <a:solidFill>
                <a:srgbClr val="5881C1"/>
              </a:solidFill>
              <a:ln>
                <a:noFill/>
              </a:ln>
              <a:effectLst/>
            </c:spPr>
            <c:extLst>
              <c:ext xmlns:c16="http://schemas.microsoft.com/office/drawing/2014/chart" uri="{C3380CC4-5D6E-409C-BE32-E72D297353CC}">
                <c16:uniqueId val="{00000007-EF82-46BB-86E1-B2AB93092E1F}"/>
              </c:ext>
            </c:extLst>
          </c:dPt>
          <c:dPt>
            <c:idx val="8"/>
            <c:invertIfNegative val="0"/>
            <c:bubble3D val="0"/>
            <c:spPr>
              <a:solidFill>
                <a:srgbClr val="5881C1"/>
              </a:solidFill>
              <a:ln>
                <a:noFill/>
              </a:ln>
              <a:effectLst/>
            </c:spPr>
            <c:extLst>
              <c:ext xmlns:c16="http://schemas.microsoft.com/office/drawing/2014/chart" uri="{C3380CC4-5D6E-409C-BE32-E72D297353CC}">
                <c16:uniqueId val="{00000008-EF82-46BB-86E1-B2AB93092E1F}"/>
              </c:ext>
            </c:extLst>
          </c:dPt>
          <c:dPt>
            <c:idx val="9"/>
            <c:invertIfNegative val="0"/>
            <c:bubble3D val="0"/>
            <c:spPr>
              <a:solidFill>
                <a:srgbClr val="5881C1"/>
              </a:solidFill>
              <a:ln>
                <a:noFill/>
              </a:ln>
              <a:effectLst/>
            </c:spPr>
            <c:extLst>
              <c:ext xmlns:c16="http://schemas.microsoft.com/office/drawing/2014/chart" uri="{C3380CC4-5D6E-409C-BE32-E72D297353CC}">
                <c16:uniqueId val="{00000009-EF82-46BB-86E1-B2AB93092E1F}"/>
              </c:ext>
            </c:extLst>
          </c:dPt>
          <c:dPt>
            <c:idx val="10"/>
            <c:invertIfNegative val="0"/>
            <c:bubble3D val="0"/>
            <c:spPr>
              <a:solidFill>
                <a:srgbClr val="5881C1"/>
              </a:solidFill>
              <a:ln>
                <a:noFill/>
              </a:ln>
              <a:effectLst/>
            </c:spPr>
            <c:extLst>
              <c:ext xmlns:c16="http://schemas.microsoft.com/office/drawing/2014/chart" uri="{C3380CC4-5D6E-409C-BE32-E72D297353CC}">
                <c16:uniqueId val="{0000000A-EF82-46BB-86E1-B2AB93092E1F}"/>
              </c:ext>
            </c:extLst>
          </c:dPt>
          <c:cat>
            <c:strLit>
              <c:ptCount val="11"/>
              <c:pt idx="0">
                <c:v>Enlgand</c:v>
              </c:pt>
              <c:pt idx="1">
                <c:v>Midlands</c:v>
              </c:pt>
              <c:pt idx="2">
                <c:v>Stoke</c:v>
              </c:pt>
              <c:pt idx="3">
                <c:v>Leic</c:v>
              </c:pt>
              <c:pt idx="4">
                <c:v>Derby</c:v>
              </c:pt>
              <c:pt idx="5">
                <c:v>Bham</c:v>
              </c:pt>
              <c:pt idx="6">
                <c:v>Shrew</c:v>
              </c:pt>
              <c:pt idx="7">
                <c:v>Nottm</c:v>
              </c:pt>
              <c:pt idx="8">
                <c:v>Covnt</c:v>
              </c:pt>
              <c:pt idx="9">
                <c:v>Wolve</c:v>
              </c:pt>
              <c:pt idx="10">
                <c:v>Dudley</c:v>
              </c:pt>
            </c:strLit>
          </c:cat>
          <c:val>
            <c:numLit>
              <c:formatCode>General</c:formatCode>
              <c:ptCount val="11"/>
              <c:pt idx="0">
                <c:v>0.17887220000000001</c:v>
              </c:pt>
              <c:pt idx="1">
                <c:v>0.1731695</c:v>
              </c:pt>
              <c:pt idx="2">
                <c:v>0.20823050000000001</c:v>
              </c:pt>
              <c:pt idx="3">
                <c:v>0.17085149999999999</c:v>
              </c:pt>
              <c:pt idx="4">
                <c:v>0.19130430000000001</c:v>
              </c:pt>
              <c:pt idx="5">
                <c:v>0.1800882</c:v>
              </c:pt>
              <c:pt idx="6">
                <c:v>0.1623037</c:v>
              </c:pt>
              <c:pt idx="7">
                <c:v>0.13611860000000001</c:v>
              </c:pt>
              <c:pt idx="8">
                <c:v>0.16506190000000001</c:v>
              </c:pt>
              <c:pt idx="9">
                <c:v>0.18265219999999999</c:v>
              </c:pt>
              <c:pt idx="10">
                <c:v>0.14457829999999999</c:v>
              </c:pt>
            </c:numLit>
          </c:val>
          <c:extLst>
            <c:ext xmlns:c16="http://schemas.microsoft.com/office/drawing/2014/chart" uri="{C3380CC4-5D6E-409C-BE32-E72D297353CC}">
              <c16:uniqueId val="{00000004-8074-41E0-A77E-C0BCAA97DDCE}"/>
            </c:ext>
          </c:extLst>
        </c:ser>
        <c:dLbls>
          <c:showLegendKey val="0"/>
          <c:showVal val="0"/>
          <c:showCatName val="0"/>
          <c:showSerName val="0"/>
          <c:showPercent val="0"/>
          <c:showBubbleSize val="0"/>
        </c:dLbls>
        <c:gapWidth val="219"/>
        <c:overlap val="-27"/>
        <c:axId val="979603215"/>
        <c:axId val="979623375"/>
      </c:barChart>
      <c:catAx>
        <c:axId val="97960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3375"/>
        <c:crosses val="autoZero"/>
        <c:auto val="1"/>
        <c:lblAlgn val="ctr"/>
        <c:lblOffset val="100"/>
        <c:noMultiLvlLbl val="0"/>
      </c:catAx>
      <c:valAx>
        <c:axId val="979623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3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Propotion of Pre-emptive Cadaver Transplant for Early Presenters 2010-2022 Average</c:v>
          </c:tx>
          <c:spPr>
            <a:solidFill>
              <a:schemeClr val="accent1"/>
            </a:solidFill>
            <a:ln>
              <a:noFill/>
            </a:ln>
            <a:effectLst/>
          </c:spPr>
          <c:invertIfNegative val="0"/>
          <c:dPt>
            <c:idx val="0"/>
            <c:invertIfNegative val="0"/>
            <c:bubble3D val="0"/>
            <c:spPr>
              <a:solidFill>
                <a:srgbClr val="2C2825"/>
              </a:solidFill>
              <a:ln>
                <a:noFill/>
              </a:ln>
              <a:effectLst/>
            </c:spPr>
            <c:extLst>
              <c:ext xmlns:c16="http://schemas.microsoft.com/office/drawing/2014/chart" uri="{C3380CC4-5D6E-409C-BE32-E72D297353CC}">
                <c16:uniqueId val="{00000000-87B2-4098-B3A6-E672C0112469}"/>
              </c:ext>
            </c:extLst>
          </c:dPt>
          <c:dPt>
            <c:idx val="1"/>
            <c:invertIfNegative val="0"/>
            <c:bubble3D val="0"/>
            <c:spPr>
              <a:solidFill>
                <a:srgbClr val="F9BF07"/>
              </a:solidFill>
              <a:ln>
                <a:noFill/>
              </a:ln>
              <a:effectLst/>
            </c:spPr>
            <c:extLst>
              <c:ext xmlns:c16="http://schemas.microsoft.com/office/drawing/2014/chart" uri="{C3380CC4-5D6E-409C-BE32-E72D297353CC}">
                <c16:uniqueId val="{00000001-87B2-4098-B3A6-E672C0112469}"/>
              </c:ext>
            </c:extLst>
          </c:dPt>
          <c:dPt>
            <c:idx val="2"/>
            <c:invertIfNegative val="0"/>
            <c:bubble3D val="0"/>
            <c:spPr>
              <a:solidFill>
                <a:srgbClr val="5881C1"/>
              </a:solidFill>
              <a:ln>
                <a:noFill/>
              </a:ln>
              <a:effectLst/>
            </c:spPr>
            <c:extLst>
              <c:ext xmlns:c16="http://schemas.microsoft.com/office/drawing/2014/chart" uri="{C3380CC4-5D6E-409C-BE32-E72D297353CC}">
                <c16:uniqueId val="{00000002-87B2-4098-B3A6-E672C0112469}"/>
              </c:ext>
            </c:extLst>
          </c:dPt>
          <c:dPt>
            <c:idx val="3"/>
            <c:invertIfNegative val="0"/>
            <c:bubble3D val="0"/>
            <c:spPr>
              <a:solidFill>
                <a:srgbClr val="5881C1"/>
              </a:solidFill>
              <a:ln>
                <a:noFill/>
              </a:ln>
              <a:effectLst/>
            </c:spPr>
            <c:extLst>
              <c:ext xmlns:c16="http://schemas.microsoft.com/office/drawing/2014/chart" uri="{C3380CC4-5D6E-409C-BE32-E72D297353CC}">
                <c16:uniqueId val="{00000003-87B2-4098-B3A6-E672C0112469}"/>
              </c:ext>
            </c:extLst>
          </c:dPt>
          <c:dPt>
            <c:idx val="4"/>
            <c:invertIfNegative val="0"/>
            <c:bubble3D val="0"/>
            <c:spPr>
              <a:solidFill>
                <a:srgbClr val="5881C1"/>
              </a:solidFill>
              <a:ln>
                <a:noFill/>
              </a:ln>
              <a:effectLst/>
            </c:spPr>
            <c:extLst>
              <c:ext xmlns:c16="http://schemas.microsoft.com/office/drawing/2014/chart" uri="{C3380CC4-5D6E-409C-BE32-E72D297353CC}">
                <c16:uniqueId val="{00000004-87B2-4098-B3A6-E672C0112469}"/>
              </c:ext>
            </c:extLst>
          </c:dPt>
          <c:dPt>
            <c:idx val="5"/>
            <c:invertIfNegative val="0"/>
            <c:bubble3D val="0"/>
            <c:spPr>
              <a:solidFill>
                <a:srgbClr val="5881C1"/>
              </a:solidFill>
              <a:ln>
                <a:noFill/>
              </a:ln>
              <a:effectLst/>
            </c:spPr>
            <c:extLst>
              <c:ext xmlns:c16="http://schemas.microsoft.com/office/drawing/2014/chart" uri="{C3380CC4-5D6E-409C-BE32-E72D297353CC}">
                <c16:uniqueId val="{00000005-87B2-4098-B3A6-E672C0112469}"/>
              </c:ext>
            </c:extLst>
          </c:dPt>
          <c:dPt>
            <c:idx val="6"/>
            <c:invertIfNegative val="0"/>
            <c:bubble3D val="0"/>
            <c:spPr>
              <a:solidFill>
                <a:srgbClr val="5881C1"/>
              </a:solidFill>
              <a:ln>
                <a:noFill/>
              </a:ln>
              <a:effectLst/>
            </c:spPr>
            <c:extLst>
              <c:ext xmlns:c16="http://schemas.microsoft.com/office/drawing/2014/chart" uri="{C3380CC4-5D6E-409C-BE32-E72D297353CC}">
                <c16:uniqueId val="{00000006-87B2-4098-B3A6-E672C0112469}"/>
              </c:ext>
            </c:extLst>
          </c:dPt>
          <c:dPt>
            <c:idx val="7"/>
            <c:invertIfNegative val="0"/>
            <c:bubble3D val="0"/>
            <c:spPr>
              <a:solidFill>
                <a:srgbClr val="5881C1"/>
              </a:solidFill>
              <a:ln>
                <a:noFill/>
              </a:ln>
              <a:effectLst/>
            </c:spPr>
            <c:extLst>
              <c:ext xmlns:c16="http://schemas.microsoft.com/office/drawing/2014/chart" uri="{C3380CC4-5D6E-409C-BE32-E72D297353CC}">
                <c16:uniqueId val="{00000007-87B2-4098-B3A6-E672C0112469}"/>
              </c:ext>
            </c:extLst>
          </c:dPt>
          <c:dPt>
            <c:idx val="8"/>
            <c:invertIfNegative val="0"/>
            <c:bubble3D val="0"/>
            <c:spPr>
              <a:solidFill>
                <a:srgbClr val="5881C1"/>
              </a:solidFill>
              <a:ln>
                <a:noFill/>
              </a:ln>
              <a:effectLst/>
            </c:spPr>
            <c:extLst>
              <c:ext xmlns:c16="http://schemas.microsoft.com/office/drawing/2014/chart" uri="{C3380CC4-5D6E-409C-BE32-E72D297353CC}">
                <c16:uniqueId val="{00000008-87B2-4098-B3A6-E672C0112469}"/>
              </c:ext>
            </c:extLst>
          </c:dPt>
          <c:dPt>
            <c:idx val="9"/>
            <c:invertIfNegative val="0"/>
            <c:bubble3D val="0"/>
            <c:spPr>
              <a:solidFill>
                <a:srgbClr val="5881C1"/>
              </a:solidFill>
              <a:ln>
                <a:noFill/>
              </a:ln>
              <a:effectLst/>
            </c:spPr>
            <c:extLst>
              <c:ext xmlns:c16="http://schemas.microsoft.com/office/drawing/2014/chart" uri="{C3380CC4-5D6E-409C-BE32-E72D297353CC}">
                <c16:uniqueId val="{00000009-87B2-4098-B3A6-E672C0112469}"/>
              </c:ext>
            </c:extLst>
          </c:dPt>
          <c:dPt>
            <c:idx val="10"/>
            <c:invertIfNegative val="0"/>
            <c:bubble3D val="0"/>
            <c:spPr>
              <a:solidFill>
                <a:srgbClr val="5881C1"/>
              </a:solidFill>
              <a:ln>
                <a:noFill/>
              </a:ln>
              <a:effectLst/>
            </c:spPr>
            <c:extLst>
              <c:ext xmlns:c16="http://schemas.microsoft.com/office/drawing/2014/chart" uri="{C3380CC4-5D6E-409C-BE32-E72D297353CC}">
                <c16:uniqueId val="{0000000A-87B2-4098-B3A6-E672C0112469}"/>
              </c:ext>
            </c:extLst>
          </c:dPt>
          <c:cat>
            <c:strLit>
              <c:ptCount val="11"/>
              <c:pt idx="0">
                <c:v>Enlgand</c:v>
              </c:pt>
              <c:pt idx="1">
                <c:v>Midlands</c:v>
              </c:pt>
              <c:pt idx="2">
                <c:v>Stoke</c:v>
              </c:pt>
              <c:pt idx="3">
                <c:v>Leic</c:v>
              </c:pt>
              <c:pt idx="4">
                <c:v>Derby</c:v>
              </c:pt>
              <c:pt idx="5">
                <c:v>Bham</c:v>
              </c:pt>
              <c:pt idx="6">
                <c:v>Shrew</c:v>
              </c:pt>
              <c:pt idx="7">
                <c:v>Nottm</c:v>
              </c:pt>
              <c:pt idx="8">
                <c:v>Covnt</c:v>
              </c:pt>
              <c:pt idx="9">
                <c:v>Wolve</c:v>
              </c:pt>
              <c:pt idx="10">
                <c:v>Dudley</c:v>
              </c:pt>
            </c:strLit>
          </c:cat>
          <c:val>
            <c:numLit>
              <c:formatCode>General</c:formatCode>
              <c:ptCount val="11"/>
              <c:pt idx="0">
                <c:v>0.2144768</c:v>
              </c:pt>
              <c:pt idx="1">
                <c:v>0.2018885</c:v>
              </c:pt>
              <c:pt idx="2">
                <c:v>0.1550388</c:v>
              </c:pt>
              <c:pt idx="3">
                <c:v>0.25117</c:v>
              </c:pt>
              <c:pt idx="4">
                <c:v>0.11309520000000001</c:v>
              </c:pt>
              <c:pt idx="5">
                <c:v>0.1673077</c:v>
              </c:pt>
              <c:pt idx="6">
                <c:v>0.16417909999999999</c:v>
              </c:pt>
              <c:pt idx="7">
                <c:v>0.31228070000000002</c:v>
              </c:pt>
              <c:pt idx="8">
                <c:v>0.17748920000000001</c:v>
              </c:pt>
              <c:pt idx="9">
                <c:v>0.1043478</c:v>
              </c:pt>
              <c:pt idx="10">
                <c:v>0.1408451</c:v>
              </c:pt>
            </c:numLit>
          </c:val>
          <c:extLst>
            <c:ext xmlns:c16="http://schemas.microsoft.com/office/drawing/2014/chart" uri="{C3380CC4-5D6E-409C-BE32-E72D297353CC}">
              <c16:uniqueId val="{00000004-2409-4905-AAC1-7CA3B3395ED1}"/>
            </c:ext>
          </c:extLst>
        </c:ser>
        <c:dLbls>
          <c:showLegendKey val="0"/>
          <c:showVal val="0"/>
          <c:showCatName val="0"/>
          <c:showSerName val="0"/>
          <c:showPercent val="0"/>
          <c:showBubbleSize val="0"/>
        </c:dLbls>
        <c:gapWidth val="219"/>
        <c:overlap val="-27"/>
        <c:axId val="979644975"/>
        <c:axId val="979638735"/>
      </c:barChart>
      <c:catAx>
        <c:axId val="9796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38735"/>
        <c:crosses val="autoZero"/>
        <c:auto val="1"/>
        <c:lblAlgn val="ctr"/>
        <c:lblOffset val="100"/>
        <c:noMultiLvlLbl val="0"/>
      </c:catAx>
      <c:valAx>
        <c:axId val="9796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Proportion of Pre-emptive Live Transplant for Early Presenters 2010-2022 Average</c:v>
          </c:tx>
          <c:spPr>
            <a:solidFill>
              <a:schemeClr val="accent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0-3FBC-4DE0-A9ED-6500F861A540}"/>
              </c:ext>
            </c:extLst>
          </c:dPt>
          <c:dPt>
            <c:idx val="1"/>
            <c:invertIfNegative val="0"/>
            <c:bubble3D val="0"/>
            <c:spPr>
              <a:solidFill>
                <a:srgbClr val="F9BF07"/>
              </a:solidFill>
              <a:ln>
                <a:noFill/>
              </a:ln>
              <a:effectLst/>
            </c:spPr>
            <c:extLst>
              <c:ext xmlns:c16="http://schemas.microsoft.com/office/drawing/2014/chart" uri="{C3380CC4-5D6E-409C-BE32-E72D297353CC}">
                <c16:uniqueId val="{00000001-3FBC-4DE0-A9ED-6500F861A540}"/>
              </c:ext>
            </c:extLst>
          </c:dPt>
          <c:dPt>
            <c:idx val="2"/>
            <c:invertIfNegative val="0"/>
            <c:bubble3D val="0"/>
            <c:spPr>
              <a:solidFill>
                <a:srgbClr val="5881C1"/>
              </a:solidFill>
              <a:ln>
                <a:noFill/>
              </a:ln>
              <a:effectLst/>
            </c:spPr>
            <c:extLst>
              <c:ext xmlns:c16="http://schemas.microsoft.com/office/drawing/2014/chart" uri="{C3380CC4-5D6E-409C-BE32-E72D297353CC}">
                <c16:uniqueId val="{00000002-3FBC-4DE0-A9ED-6500F861A540}"/>
              </c:ext>
            </c:extLst>
          </c:dPt>
          <c:dPt>
            <c:idx val="3"/>
            <c:invertIfNegative val="0"/>
            <c:bubble3D val="0"/>
            <c:spPr>
              <a:solidFill>
                <a:srgbClr val="5881C1"/>
              </a:solidFill>
              <a:ln>
                <a:noFill/>
              </a:ln>
              <a:effectLst/>
            </c:spPr>
            <c:extLst>
              <c:ext xmlns:c16="http://schemas.microsoft.com/office/drawing/2014/chart" uri="{C3380CC4-5D6E-409C-BE32-E72D297353CC}">
                <c16:uniqueId val="{00000003-3FBC-4DE0-A9ED-6500F861A540}"/>
              </c:ext>
            </c:extLst>
          </c:dPt>
          <c:dPt>
            <c:idx val="4"/>
            <c:invertIfNegative val="0"/>
            <c:bubble3D val="0"/>
            <c:spPr>
              <a:solidFill>
                <a:srgbClr val="5881C1"/>
              </a:solidFill>
              <a:ln>
                <a:noFill/>
              </a:ln>
              <a:effectLst/>
            </c:spPr>
            <c:extLst>
              <c:ext xmlns:c16="http://schemas.microsoft.com/office/drawing/2014/chart" uri="{C3380CC4-5D6E-409C-BE32-E72D297353CC}">
                <c16:uniqueId val="{00000004-3FBC-4DE0-A9ED-6500F861A540}"/>
              </c:ext>
            </c:extLst>
          </c:dPt>
          <c:dPt>
            <c:idx val="5"/>
            <c:invertIfNegative val="0"/>
            <c:bubble3D val="0"/>
            <c:spPr>
              <a:solidFill>
                <a:srgbClr val="5881C1"/>
              </a:solidFill>
              <a:ln>
                <a:noFill/>
              </a:ln>
              <a:effectLst/>
            </c:spPr>
            <c:extLst>
              <c:ext xmlns:c16="http://schemas.microsoft.com/office/drawing/2014/chart" uri="{C3380CC4-5D6E-409C-BE32-E72D297353CC}">
                <c16:uniqueId val="{00000005-3FBC-4DE0-A9ED-6500F861A540}"/>
              </c:ext>
            </c:extLst>
          </c:dPt>
          <c:dPt>
            <c:idx val="6"/>
            <c:invertIfNegative val="0"/>
            <c:bubble3D val="0"/>
            <c:spPr>
              <a:solidFill>
                <a:srgbClr val="5881C1"/>
              </a:solidFill>
              <a:ln>
                <a:noFill/>
              </a:ln>
              <a:effectLst/>
            </c:spPr>
            <c:extLst>
              <c:ext xmlns:c16="http://schemas.microsoft.com/office/drawing/2014/chart" uri="{C3380CC4-5D6E-409C-BE32-E72D297353CC}">
                <c16:uniqueId val="{00000006-3FBC-4DE0-A9ED-6500F861A540}"/>
              </c:ext>
            </c:extLst>
          </c:dPt>
          <c:dPt>
            <c:idx val="7"/>
            <c:invertIfNegative val="0"/>
            <c:bubble3D val="0"/>
            <c:spPr>
              <a:solidFill>
                <a:srgbClr val="5881C1"/>
              </a:solidFill>
              <a:ln>
                <a:noFill/>
              </a:ln>
              <a:effectLst/>
            </c:spPr>
            <c:extLst>
              <c:ext xmlns:c16="http://schemas.microsoft.com/office/drawing/2014/chart" uri="{C3380CC4-5D6E-409C-BE32-E72D297353CC}">
                <c16:uniqueId val="{00000007-3FBC-4DE0-A9ED-6500F861A540}"/>
              </c:ext>
            </c:extLst>
          </c:dPt>
          <c:dPt>
            <c:idx val="8"/>
            <c:invertIfNegative val="0"/>
            <c:bubble3D val="0"/>
            <c:spPr>
              <a:solidFill>
                <a:srgbClr val="5881C1"/>
              </a:solidFill>
              <a:ln>
                <a:noFill/>
              </a:ln>
              <a:effectLst/>
            </c:spPr>
            <c:extLst>
              <c:ext xmlns:c16="http://schemas.microsoft.com/office/drawing/2014/chart" uri="{C3380CC4-5D6E-409C-BE32-E72D297353CC}">
                <c16:uniqueId val="{00000008-3FBC-4DE0-A9ED-6500F861A540}"/>
              </c:ext>
            </c:extLst>
          </c:dPt>
          <c:dPt>
            <c:idx val="9"/>
            <c:invertIfNegative val="0"/>
            <c:bubble3D val="0"/>
            <c:spPr>
              <a:solidFill>
                <a:srgbClr val="5881C1"/>
              </a:solidFill>
              <a:ln>
                <a:noFill/>
              </a:ln>
              <a:effectLst/>
            </c:spPr>
            <c:extLst>
              <c:ext xmlns:c16="http://schemas.microsoft.com/office/drawing/2014/chart" uri="{C3380CC4-5D6E-409C-BE32-E72D297353CC}">
                <c16:uniqueId val="{00000009-3FBC-4DE0-A9ED-6500F861A540}"/>
              </c:ext>
            </c:extLst>
          </c:dPt>
          <c:dPt>
            <c:idx val="10"/>
            <c:invertIfNegative val="0"/>
            <c:bubble3D val="0"/>
            <c:spPr>
              <a:solidFill>
                <a:srgbClr val="5881C1"/>
              </a:solidFill>
              <a:ln>
                <a:noFill/>
              </a:ln>
              <a:effectLst/>
            </c:spPr>
            <c:extLst>
              <c:ext xmlns:c16="http://schemas.microsoft.com/office/drawing/2014/chart" uri="{C3380CC4-5D6E-409C-BE32-E72D297353CC}">
                <c16:uniqueId val="{0000000A-3FBC-4DE0-A9ED-6500F861A540}"/>
              </c:ext>
            </c:extLst>
          </c:dPt>
          <c:cat>
            <c:strLit>
              <c:ptCount val="11"/>
              <c:pt idx="0">
                <c:v>Enlgand</c:v>
              </c:pt>
              <c:pt idx="1">
                <c:v>Midlands</c:v>
              </c:pt>
              <c:pt idx="2">
                <c:v>Stoke</c:v>
              </c:pt>
              <c:pt idx="3">
                <c:v>Leic</c:v>
              </c:pt>
              <c:pt idx="4">
                <c:v>Derby</c:v>
              </c:pt>
              <c:pt idx="5">
                <c:v>Bham</c:v>
              </c:pt>
              <c:pt idx="6">
                <c:v>Shrew</c:v>
              </c:pt>
              <c:pt idx="7">
                <c:v>Nottm</c:v>
              </c:pt>
              <c:pt idx="8">
                <c:v>Covnt</c:v>
              </c:pt>
              <c:pt idx="9">
                <c:v>Wolve</c:v>
              </c:pt>
              <c:pt idx="10">
                <c:v>Dudley</c:v>
              </c:pt>
            </c:strLit>
          </c:cat>
          <c:val>
            <c:numLit>
              <c:formatCode>General</c:formatCode>
              <c:ptCount val="11"/>
              <c:pt idx="0">
                <c:v>0.49038130000000002</c:v>
              </c:pt>
              <c:pt idx="1">
                <c:v>0.4884696</c:v>
              </c:pt>
              <c:pt idx="2">
                <c:v>0.35483870000000001</c:v>
              </c:pt>
              <c:pt idx="3">
                <c:v>0.60431650000000003</c:v>
              </c:pt>
              <c:pt idx="4">
                <c:v>0.32352940000000002</c:v>
              </c:pt>
              <c:pt idx="5">
                <c:v>0.50384620000000002</c:v>
              </c:pt>
              <c:pt idx="6">
                <c:v>0.21212120000000001</c:v>
              </c:pt>
              <c:pt idx="7">
                <c:v>0.53488369999999996</c:v>
              </c:pt>
              <c:pt idx="8">
                <c:v>0.4740741</c:v>
              </c:pt>
              <c:pt idx="9">
                <c:v>0.2894737</c:v>
              </c:pt>
              <c:pt idx="10">
                <c:v>0.20689660000000001</c:v>
              </c:pt>
            </c:numLit>
          </c:val>
          <c:extLst>
            <c:ext xmlns:c16="http://schemas.microsoft.com/office/drawing/2014/chart" uri="{C3380CC4-5D6E-409C-BE32-E72D297353CC}">
              <c16:uniqueId val="{00000004-372B-470A-80A6-5C5037862D16}"/>
            </c:ext>
          </c:extLst>
        </c:ser>
        <c:dLbls>
          <c:showLegendKey val="0"/>
          <c:showVal val="0"/>
          <c:showCatName val="0"/>
          <c:showSerName val="0"/>
          <c:showPercent val="0"/>
          <c:showBubbleSize val="0"/>
        </c:dLbls>
        <c:gapWidth val="219"/>
        <c:overlap val="-27"/>
        <c:axId val="979612815"/>
        <c:axId val="979609935"/>
      </c:barChart>
      <c:catAx>
        <c:axId val="979612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09935"/>
        <c:crosses val="autoZero"/>
        <c:auto val="1"/>
        <c:lblAlgn val="ctr"/>
        <c:lblOffset val="100"/>
        <c:noMultiLvlLbl val="0"/>
      </c:catAx>
      <c:valAx>
        <c:axId val="97960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2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Percentage of pre-emptive Transplants for Early Presenters 2010-2022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v>Propotion of Pre-emptive Transplant for Early Presenters 2010-2022 Average</c:v>
          </c:tx>
          <c:spPr>
            <a:solidFill>
              <a:schemeClr val="accent2"/>
            </a:solidFill>
            <a:ln>
              <a:noFill/>
            </a:ln>
            <a:effectLst/>
          </c:spPr>
          <c:invertIfNegative val="0"/>
          <c:dPt>
            <c:idx val="0"/>
            <c:invertIfNegative val="0"/>
            <c:bubble3D val="0"/>
            <c:spPr>
              <a:solidFill>
                <a:srgbClr val="2C2825"/>
              </a:solidFill>
              <a:ln>
                <a:noFill/>
              </a:ln>
              <a:effectLst/>
            </c:spPr>
            <c:extLst>
              <c:ext xmlns:c16="http://schemas.microsoft.com/office/drawing/2014/chart" uri="{C3380CC4-5D6E-409C-BE32-E72D297353CC}">
                <c16:uniqueId val="{00000001-58F2-4344-9BC9-2FD7A6E00FFD}"/>
              </c:ext>
            </c:extLst>
          </c:dPt>
          <c:dPt>
            <c:idx val="1"/>
            <c:invertIfNegative val="0"/>
            <c:bubble3D val="0"/>
            <c:spPr>
              <a:solidFill>
                <a:srgbClr val="F9BF07"/>
              </a:solidFill>
              <a:ln>
                <a:noFill/>
              </a:ln>
              <a:effectLst/>
            </c:spPr>
            <c:extLst>
              <c:ext xmlns:c16="http://schemas.microsoft.com/office/drawing/2014/chart" uri="{C3380CC4-5D6E-409C-BE32-E72D297353CC}">
                <c16:uniqueId val="{00000003-58F2-4344-9BC9-2FD7A6E00FFD}"/>
              </c:ext>
            </c:extLst>
          </c:dPt>
          <c:dPt>
            <c:idx val="2"/>
            <c:invertIfNegative val="0"/>
            <c:bubble3D val="0"/>
            <c:spPr>
              <a:solidFill>
                <a:srgbClr val="5881C1"/>
              </a:solidFill>
              <a:ln>
                <a:noFill/>
              </a:ln>
              <a:effectLst/>
            </c:spPr>
            <c:extLst>
              <c:ext xmlns:c16="http://schemas.microsoft.com/office/drawing/2014/chart" uri="{C3380CC4-5D6E-409C-BE32-E72D297353CC}">
                <c16:uniqueId val="{00000005-58F2-4344-9BC9-2FD7A6E00FFD}"/>
              </c:ext>
            </c:extLst>
          </c:dPt>
          <c:dPt>
            <c:idx val="3"/>
            <c:invertIfNegative val="0"/>
            <c:bubble3D val="0"/>
            <c:spPr>
              <a:solidFill>
                <a:srgbClr val="5881C1"/>
              </a:solidFill>
              <a:ln>
                <a:noFill/>
              </a:ln>
              <a:effectLst/>
            </c:spPr>
            <c:extLst>
              <c:ext xmlns:c16="http://schemas.microsoft.com/office/drawing/2014/chart" uri="{C3380CC4-5D6E-409C-BE32-E72D297353CC}">
                <c16:uniqueId val="{00000007-58F2-4344-9BC9-2FD7A6E00FFD}"/>
              </c:ext>
            </c:extLst>
          </c:dPt>
          <c:dPt>
            <c:idx val="4"/>
            <c:invertIfNegative val="0"/>
            <c:bubble3D val="0"/>
            <c:spPr>
              <a:solidFill>
                <a:srgbClr val="5881C1"/>
              </a:solidFill>
              <a:ln>
                <a:noFill/>
              </a:ln>
              <a:effectLst/>
            </c:spPr>
            <c:extLst>
              <c:ext xmlns:c16="http://schemas.microsoft.com/office/drawing/2014/chart" uri="{C3380CC4-5D6E-409C-BE32-E72D297353CC}">
                <c16:uniqueId val="{00000009-58F2-4344-9BC9-2FD7A6E00FFD}"/>
              </c:ext>
            </c:extLst>
          </c:dPt>
          <c:dPt>
            <c:idx val="5"/>
            <c:invertIfNegative val="0"/>
            <c:bubble3D val="0"/>
            <c:spPr>
              <a:solidFill>
                <a:srgbClr val="5881C1"/>
              </a:solidFill>
              <a:ln>
                <a:noFill/>
              </a:ln>
              <a:effectLst/>
            </c:spPr>
            <c:extLst>
              <c:ext xmlns:c16="http://schemas.microsoft.com/office/drawing/2014/chart" uri="{C3380CC4-5D6E-409C-BE32-E72D297353CC}">
                <c16:uniqueId val="{0000000B-58F2-4344-9BC9-2FD7A6E00FFD}"/>
              </c:ext>
            </c:extLst>
          </c:dPt>
          <c:dPt>
            <c:idx val="6"/>
            <c:invertIfNegative val="0"/>
            <c:bubble3D val="0"/>
            <c:spPr>
              <a:solidFill>
                <a:srgbClr val="5881C1"/>
              </a:solidFill>
              <a:ln>
                <a:noFill/>
              </a:ln>
              <a:effectLst/>
            </c:spPr>
            <c:extLst>
              <c:ext xmlns:c16="http://schemas.microsoft.com/office/drawing/2014/chart" uri="{C3380CC4-5D6E-409C-BE32-E72D297353CC}">
                <c16:uniqueId val="{0000000D-58F2-4344-9BC9-2FD7A6E00FFD}"/>
              </c:ext>
            </c:extLst>
          </c:dPt>
          <c:dPt>
            <c:idx val="7"/>
            <c:invertIfNegative val="0"/>
            <c:bubble3D val="0"/>
            <c:spPr>
              <a:solidFill>
                <a:srgbClr val="5881C1"/>
              </a:solidFill>
              <a:ln>
                <a:noFill/>
              </a:ln>
              <a:effectLst/>
            </c:spPr>
            <c:extLst>
              <c:ext xmlns:c16="http://schemas.microsoft.com/office/drawing/2014/chart" uri="{C3380CC4-5D6E-409C-BE32-E72D297353CC}">
                <c16:uniqueId val="{0000000F-58F2-4344-9BC9-2FD7A6E00FFD}"/>
              </c:ext>
            </c:extLst>
          </c:dPt>
          <c:dPt>
            <c:idx val="8"/>
            <c:invertIfNegative val="0"/>
            <c:bubble3D val="0"/>
            <c:spPr>
              <a:solidFill>
                <a:srgbClr val="5881C1"/>
              </a:solidFill>
              <a:ln>
                <a:noFill/>
              </a:ln>
              <a:effectLst/>
            </c:spPr>
            <c:extLst>
              <c:ext xmlns:c16="http://schemas.microsoft.com/office/drawing/2014/chart" uri="{C3380CC4-5D6E-409C-BE32-E72D297353CC}">
                <c16:uniqueId val="{00000011-58F2-4344-9BC9-2FD7A6E00FFD}"/>
              </c:ext>
            </c:extLst>
          </c:dPt>
          <c:dPt>
            <c:idx val="9"/>
            <c:invertIfNegative val="0"/>
            <c:bubble3D val="0"/>
            <c:spPr>
              <a:solidFill>
                <a:srgbClr val="5881C1"/>
              </a:solidFill>
              <a:ln>
                <a:noFill/>
              </a:ln>
              <a:effectLst/>
            </c:spPr>
            <c:extLst>
              <c:ext xmlns:c16="http://schemas.microsoft.com/office/drawing/2014/chart" uri="{C3380CC4-5D6E-409C-BE32-E72D297353CC}">
                <c16:uniqueId val="{00000013-58F2-4344-9BC9-2FD7A6E00FFD}"/>
              </c:ext>
            </c:extLst>
          </c:dPt>
          <c:dPt>
            <c:idx val="10"/>
            <c:invertIfNegative val="0"/>
            <c:bubble3D val="0"/>
            <c:spPr>
              <a:solidFill>
                <a:srgbClr val="5881C1"/>
              </a:solidFill>
              <a:ln>
                <a:noFill/>
              </a:ln>
              <a:effectLst/>
            </c:spPr>
            <c:extLst>
              <c:ext xmlns:c16="http://schemas.microsoft.com/office/drawing/2014/chart" uri="{C3380CC4-5D6E-409C-BE32-E72D297353CC}">
                <c16:uniqueId val="{00000015-58F2-4344-9BC9-2FD7A6E00FFD}"/>
              </c:ext>
            </c:extLst>
          </c:dPt>
          <c:cat>
            <c:strRef>
              <c:f>[1]preE_Tx_Cadav_all_models!$B$34:$L$34</c:f>
              <c:strCache>
                <c:ptCount val="11"/>
                <c:pt idx="0">
                  <c:v>England</c:v>
                </c:pt>
                <c:pt idx="1">
                  <c:v>Midlands</c:v>
                </c:pt>
                <c:pt idx="2">
                  <c:v>Bham</c:v>
                </c:pt>
                <c:pt idx="3">
                  <c:v>Covnt</c:v>
                </c:pt>
                <c:pt idx="4">
                  <c:v>Derby</c:v>
                </c:pt>
                <c:pt idx="5">
                  <c:v>Dudley</c:v>
                </c:pt>
                <c:pt idx="6">
                  <c:v>Leic</c:v>
                </c:pt>
                <c:pt idx="7">
                  <c:v>Nottm</c:v>
                </c:pt>
                <c:pt idx="8">
                  <c:v>Shrew</c:v>
                </c:pt>
                <c:pt idx="9">
                  <c:v>Stoke</c:v>
                </c:pt>
                <c:pt idx="10">
                  <c:v>Wolve</c:v>
                </c:pt>
              </c:strCache>
            </c:strRef>
          </c:cat>
          <c:val>
            <c:numRef>
              <c:f>[1]preE_Tx_Cadav_all_models!$B$35:$L$35</c:f>
              <c:numCache>
                <c:formatCode>General</c:formatCode>
                <c:ptCount val="11"/>
                <c:pt idx="0">
                  <c:v>0.35242905000000002</c:v>
                </c:pt>
                <c:pt idx="1">
                  <c:v>0.34517904999999999</c:v>
                </c:pt>
                <c:pt idx="2">
                  <c:v>0.33557694999999998</c:v>
                </c:pt>
                <c:pt idx="3">
                  <c:v>0.32578165000000003</c:v>
                </c:pt>
                <c:pt idx="4">
                  <c:v>0.21831230000000001</c:v>
                </c:pt>
                <c:pt idx="5">
                  <c:v>0.17387085000000002</c:v>
                </c:pt>
                <c:pt idx="6">
                  <c:v>0.42774325000000002</c:v>
                </c:pt>
                <c:pt idx="7">
                  <c:v>0.42358220000000002</c:v>
                </c:pt>
                <c:pt idx="8">
                  <c:v>0.18815015000000002</c:v>
                </c:pt>
                <c:pt idx="9">
                  <c:v>0.25493874999999999</c:v>
                </c:pt>
                <c:pt idx="10">
                  <c:v>0.19691075</c:v>
                </c:pt>
              </c:numCache>
            </c:numRef>
          </c:val>
          <c:extLst>
            <c:ext xmlns:c16="http://schemas.microsoft.com/office/drawing/2014/chart" uri="{C3380CC4-5D6E-409C-BE32-E72D297353CC}">
              <c16:uniqueId val="{00000016-58F2-4344-9BC9-2FD7A6E00FFD}"/>
            </c:ext>
          </c:extLst>
        </c:ser>
        <c:dLbls>
          <c:showLegendKey val="0"/>
          <c:showVal val="0"/>
          <c:showCatName val="0"/>
          <c:showSerName val="0"/>
          <c:showPercent val="0"/>
          <c:showBubbleSize val="0"/>
        </c:dLbls>
        <c:gapWidth val="219"/>
        <c:overlap val="-27"/>
        <c:axId val="979644975"/>
        <c:axId val="979638735"/>
        <c:extLst>
          <c:ext xmlns:c15="http://schemas.microsoft.com/office/drawing/2012/chart" uri="{02D57815-91ED-43cb-92C2-25804820EDAC}">
            <c15:filteredBarSeries>
              <c15:ser>
                <c:idx val="0"/>
                <c:order val="0"/>
                <c:tx>
                  <c:v>Propotion of Pre-emptive Cadaver Transplant for Early Presenters 2010-2022 Average</c:v>
                </c:tx>
                <c:spPr>
                  <a:solidFill>
                    <a:srgbClr val="5881C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18-58F2-4344-9BC9-2FD7A6E00FFD}"/>
                    </c:ext>
                  </c:extLst>
                </c:dPt>
                <c:dPt>
                  <c:idx val="1"/>
                  <c:invertIfNegative val="0"/>
                  <c:bubble3D val="0"/>
                  <c:spPr>
                    <a:solidFill>
                      <a:srgbClr val="FFC000"/>
                    </a:solidFill>
                    <a:ln>
                      <a:noFill/>
                    </a:ln>
                    <a:effectLst/>
                  </c:spPr>
                  <c:extLst>
                    <c:ext xmlns:c16="http://schemas.microsoft.com/office/drawing/2014/chart" uri="{C3380CC4-5D6E-409C-BE32-E72D297353CC}">
                      <c16:uniqueId val="{0000001A-58F2-4344-9BC9-2FD7A6E00FFD}"/>
                    </c:ext>
                  </c:extLst>
                </c:dPt>
                <c:cat>
                  <c:strRef>
                    <c:extLst>
                      <c:ext uri="{02D57815-91ED-43cb-92C2-25804820EDAC}">
                        <c15:formulaRef>
                          <c15:sqref>[1]preE_Tx_Cadav_all_models!$B$34:$L$34</c15:sqref>
                        </c15:formulaRef>
                      </c:ext>
                    </c:extLst>
                    <c:strCache>
                      <c:ptCount val="11"/>
                      <c:pt idx="0">
                        <c:v>England</c:v>
                      </c:pt>
                      <c:pt idx="1">
                        <c:v>Midlands</c:v>
                      </c:pt>
                      <c:pt idx="2">
                        <c:v>Bham</c:v>
                      </c:pt>
                      <c:pt idx="3">
                        <c:v>Covnt</c:v>
                      </c:pt>
                      <c:pt idx="4">
                        <c:v>Derby</c:v>
                      </c:pt>
                      <c:pt idx="5">
                        <c:v>Dudley</c:v>
                      </c:pt>
                      <c:pt idx="6">
                        <c:v>Leic</c:v>
                      </c:pt>
                      <c:pt idx="7">
                        <c:v>Nottm</c:v>
                      </c:pt>
                      <c:pt idx="8">
                        <c:v>Shrew</c:v>
                      </c:pt>
                      <c:pt idx="9">
                        <c:v>Stoke</c:v>
                      </c:pt>
                      <c:pt idx="10">
                        <c:v>Wolve</c:v>
                      </c:pt>
                    </c:strCache>
                  </c:strRef>
                </c:cat>
                <c:val>
                  <c:numLit>
                    <c:formatCode>General</c:formatCode>
                    <c:ptCount val="11"/>
                    <c:pt idx="0">
                      <c:v>0.2144768</c:v>
                    </c:pt>
                    <c:pt idx="1">
                      <c:v>0.2018885</c:v>
                    </c:pt>
                    <c:pt idx="2">
                      <c:v>0.1550388</c:v>
                    </c:pt>
                    <c:pt idx="3">
                      <c:v>0.25117</c:v>
                    </c:pt>
                    <c:pt idx="4">
                      <c:v>0.11309520000000001</c:v>
                    </c:pt>
                    <c:pt idx="5">
                      <c:v>0.1673077</c:v>
                    </c:pt>
                    <c:pt idx="6">
                      <c:v>0.16417909999999999</c:v>
                    </c:pt>
                    <c:pt idx="7">
                      <c:v>0.31228070000000002</c:v>
                    </c:pt>
                    <c:pt idx="8">
                      <c:v>0.17748920000000001</c:v>
                    </c:pt>
                    <c:pt idx="9">
                      <c:v>0.1043478</c:v>
                    </c:pt>
                    <c:pt idx="10">
                      <c:v>0.1408451</c:v>
                    </c:pt>
                  </c:numLit>
                </c:val>
                <c:extLst>
                  <c:ext xmlns:c16="http://schemas.microsoft.com/office/drawing/2014/chart" uri="{C3380CC4-5D6E-409C-BE32-E72D297353CC}">
                    <c16:uniqueId val="{0000001B-58F2-4344-9BC9-2FD7A6E00FFD}"/>
                  </c:ext>
                </c:extLst>
              </c15:ser>
            </c15:filteredBarSeries>
          </c:ext>
        </c:extLst>
      </c:barChart>
      <c:catAx>
        <c:axId val="979644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38735"/>
        <c:crosses val="autoZero"/>
        <c:auto val="1"/>
        <c:lblAlgn val="ctr"/>
        <c:lblOffset val="100"/>
        <c:noMultiLvlLbl val="0"/>
      </c:catAx>
      <c:valAx>
        <c:axId val="97963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49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8079D0D9-A099-4D09-B709-073133AB03F8}" type="doc">
      <dgm:prSet loTypeId="urn:microsoft.com/office/officeart/2005/8/layout/hierarchy2" loCatId="hierarchy" qsTypeId="urn:microsoft.com/office/officeart/2005/8/quickstyle/simple1" qsCatId="simple" csTypeId="urn:microsoft.com/office/officeart/2005/8/colors/accent1_2" csCatId="accent1" phldr="1"/>
      <dgm:spPr/>
      <dgm:t>
        <a:bodyPr/>
        <a:lstStyle/>
        <a:p>
          <a:endParaRPr lang="en-GB"/>
        </a:p>
      </dgm:t>
    </dgm:pt>
    <dgm:pt modelId="{1B8C6820-FA13-4863-B0B9-BFE25798CF7E}">
      <dgm:prSet phldrT="[Text]"/>
      <dgm:spPr/>
      <dgm:t>
        <a:bodyPr/>
        <a:lstStyle/>
        <a:p>
          <a:r>
            <a:rPr lang="en-GB"/>
            <a:t>Perspective: Renal Care System</a:t>
          </a:r>
        </a:p>
      </dgm:t>
    </dgm:pt>
    <dgm:pt modelId="{1F892987-FDB6-4BE2-AC1D-BEDF752C2869}" type="parTrans" cxnId="{CCCF1102-71E6-4FF0-8999-4E643091F913}">
      <dgm:prSet/>
      <dgm:spPr/>
      <dgm:t>
        <a:bodyPr/>
        <a:lstStyle/>
        <a:p>
          <a:endParaRPr lang="en-GB"/>
        </a:p>
      </dgm:t>
    </dgm:pt>
    <dgm:pt modelId="{5808E54B-0814-4058-8FCE-42607AD7224E}" type="sibTrans" cxnId="{CCCF1102-71E6-4FF0-8999-4E643091F913}">
      <dgm:prSet/>
      <dgm:spPr/>
      <dgm:t>
        <a:bodyPr/>
        <a:lstStyle/>
        <a:p>
          <a:endParaRPr lang="en-GB"/>
        </a:p>
      </dgm:t>
    </dgm:pt>
    <dgm:pt modelId="{F6A0651C-3D39-4949-8872-2A0B2D77122D}">
      <dgm:prSet phldrT="[Text]"/>
      <dgm:spPr>
        <a:solidFill>
          <a:schemeClr val="tx2">
            <a:lumMod val="10000"/>
            <a:lumOff val="90000"/>
          </a:schemeClr>
        </a:solidFill>
      </dgm:spPr>
      <dgm:t>
        <a:bodyPr/>
        <a:lstStyle/>
        <a:p>
          <a:r>
            <a:rPr lang="en-GB"/>
            <a:t>Conservative Care</a:t>
          </a:r>
        </a:p>
      </dgm:t>
    </dgm:pt>
    <dgm:pt modelId="{2CEBF63B-C260-41A3-975B-DB9DF49F1189}" type="parTrans" cxnId="{425442A2-FCF7-4A7F-92EF-24D2FCCB0D30}">
      <dgm:prSet/>
      <dgm:spPr/>
      <dgm:t>
        <a:bodyPr/>
        <a:lstStyle/>
        <a:p>
          <a:endParaRPr lang="en-GB"/>
        </a:p>
      </dgm:t>
    </dgm:pt>
    <dgm:pt modelId="{C23D4430-ADFB-4FFA-8910-647042E9C983}" type="sibTrans" cxnId="{425442A2-FCF7-4A7F-92EF-24D2FCCB0D30}">
      <dgm:prSet/>
      <dgm:spPr/>
      <dgm:t>
        <a:bodyPr/>
        <a:lstStyle/>
        <a:p>
          <a:endParaRPr lang="en-GB"/>
        </a:p>
      </dgm:t>
    </dgm:pt>
    <dgm:pt modelId="{78E3CBBC-25DC-408D-B1AC-8DC110FDDC99}">
      <dgm:prSet phldrT="[Text]"/>
      <dgm:spPr/>
      <dgm:t>
        <a:bodyPr/>
        <a:lstStyle/>
        <a:p>
          <a:r>
            <a:rPr lang="en-GB"/>
            <a:t>Dialysis</a:t>
          </a:r>
        </a:p>
      </dgm:t>
    </dgm:pt>
    <dgm:pt modelId="{CAC5141E-4F38-4E3F-A32F-9ACC5D1AA74E}" type="parTrans" cxnId="{9E6F480C-4869-4B0A-8620-6C29CDD753E4}">
      <dgm:prSet/>
      <dgm:spPr/>
      <dgm:t>
        <a:bodyPr/>
        <a:lstStyle/>
        <a:p>
          <a:endParaRPr lang="en-GB"/>
        </a:p>
      </dgm:t>
    </dgm:pt>
    <dgm:pt modelId="{5C673209-66E1-430D-BF6C-B3460B184E56}" type="sibTrans" cxnId="{9E6F480C-4869-4B0A-8620-6C29CDD753E4}">
      <dgm:prSet/>
      <dgm:spPr/>
      <dgm:t>
        <a:bodyPr/>
        <a:lstStyle/>
        <a:p>
          <a:endParaRPr lang="en-GB"/>
        </a:p>
      </dgm:t>
    </dgm:pt>
    <dgm:pt modelId="{D324B81B-FE4A-41CC-901E-876762FC7533}">
      <dgm:prSet phldrT="[Text]"/>
      <dgm:spPr/>
      <dgm:t>
        <a:bodyPr/>
        <a:lstStyle/>
        <a:p>
          <a:r>
            <a:rPr lang="en-GB"/>
            <a:t>HHD</a:t>
          </a:r>
        </a:p>
      </dgm:t>
    </dgm:pt>
    <dgm:pt modelId="{BFE18D0B-7C5E-4160-95D0-B65118D6A6FF}" type="parTrans" cxnId="{66B2D2F2-EFCB-487A-9482-46A6177667E9}">
      <dgm:prSet/>
      <dgm:spPr/>
      <dgm:t>
        <a:bodyPr/>
        <a:lstStyle/>
        <a:p>
          <a:endParaRPr lang="en-GB"/>
        </a:p>
      </dgm:t>
    </dgm:pt>
    <dgm:pt modelId="{0A2DED88-F6B6-4D8B-9972-03DBBC4ABEFC}" type="sibTrans" cxnId="{66B2D2F2-EFCB-487A-9482-46A6177667E9}">
      <dgm:prSet/>
      <dgm:spPr/>
      <dgm:t>
        <a:bodyPr/>
        <a:lstStyle/>
        <a:p>
          <a:endParaRPr lang="en-GB"/>
        </a:p>
      </dgm:t>
    </dgm:pt>
    <dgm:pt modelId="{9F8524B7-42DF-4BE1-B47C-FF48D482776F}">
      <dgm:prSet phldrT="[Text]"/>
      <dgm:spPr/>
      <dgm:t>
        <a:bodyPr/>
        <a:lstStyle/>
        <a:p>
          <a:r>
            <a:rPr lang="en-GB"/>
            <a:t>PD</a:t>
          </a:r>
        </a:p>
      </dgm:t>
    </dgm:pt>
    <dgm:pt modelId="{73B82507-9FA1-4CF3-B951-408B81A46887}" type="parTrans" cxnId="{57807CD1-DC6C-41D2-B019-CDA815C58DBE}">
      <dgm:prSet/>
      <dgm:spPr/>
      <dgm:t>
        <a:bodyPr/>
        <a:lstStyle/>
        <a:p>
          <a:endParaRPr lang="en-GB"/>
        </a:p>
      </dgm:t>
    </dgm:pt>
    <dgm:pt modelId="{1E608B75-ED4A-4B0E-93A1-1C32AF1B92FF}" type="sibTrans" cxnId="{57807CD1-DC6C-41D2-B019-CDA815C58DBE}">
      <dgm:prSet/>
      <dgm:spPr/>
      <dgm:t>
        <a:bodyPr/>
        <a:lstStyle/>
        <a:p>
          <a:endParaRPr lang="en-GB"/>
        </a:p>
      </dgm:t>
    </dgm:pt>
    <dgm:pt modelId="{00425D1D-DB49-4F01-B129-F38BFEA9F5A9}">
      <dgm:prSet phldrT="[Text]"/>
      <dgm:spPr/>
      <dgm:t>
        <a:bodyPr/>
        <a:lstStyle/>
        <a:p>
          <a:r>
            <a:rPr lang="en-GB"/>
            <a:t>Transplant</a:t>
          </a:r>
        </a:p>
      </dgm:t>
    </dgm:pt>
    <dgm:pt modelId="{59FE62FA-3E7F-4877-B952-923D1702E699}" type="parTrans" cxnId="{977AB544-BEFC-4E88-B812-55BB7614BF61}">
      <dgm:prSet/>
      <dgm:spPr/>
      <dgm:t>
        <a:bodyPr/>
        <a:lstStyle/>
        <a:p>
          <a:endParaRPr lang="en-GB"/>
        </a:p>
      </dgm:t>
    </dgm:pt>
    <dgm:pt modelId="{817F5113-757A-42B7-BE02-9D3E5CCDB2B2}" type="sibTrans" cxnId="{977AB544-BEFC-4E88-B812-55BB7614BF61}">
      <dgm:prSet/>
      <dgm:spPr/>
      <dgm:t>
        <a:bodyPr/>
        <a:lstStyle/>
        <a:p>
          <a:endParaRPr lang="en-GB"/>
        </a:p>
      </dgm:t>
    </dgm:pt>
    <dgm:pt modelId="{ADD2637B-8031-41B7-AE54-5A859BE41CB1}">
      <dgm:prSet phldrT="[Text]"/>
      <dgm:spPr/>
      <dgm:t>
        <a:bodyPr/>
        <a:lstStyle/>
        <a:p>
          <a:r>
            <a:rPr lang="en-GB"/>
            <a:t>ICHD</a:t>
          </a:r>
        </a:p>
      </dgm:t>
    </dgm:pt>
    <dgm:pt modelId="{A8DD840D-CFB4-45B5-A276-7AFD7FF19C8F}" type="parTrans" cxnId="{A0D743C0-D4F4-440D-BB52-D93994FB549B}">
      <dgm:prSet/>
      <dgm:spPr/>
      <dgm:t>
        <a:bodyPr/>
        <a:lstStyle/>
        <a:p>
          <a:endParaRPr lang="en-GB"/>
        </a:p>
      </dgm:t>
    </dgm:pt>
    <dgm:pt modelId="{C16EBD67-BE2B-468E-B117-C32E700492E6}" type="sibTrans" cxnId="{A0D743C0-D4F4-440D-BB52-D93994FB549B}">
      <dgm:prSet/>
      <dgm:spPr/>
      <dgm:t>
        <a:bodyPr/>
        <a:lstStyle/>
        <a:p>
          <a:endParaRPr lang="en-GB"/>
        </a:p>
      </dgm:t>
    </dgm:pt>
    <dgm:pt modelId="{65B1C260-E323-44F8-868E-26546A3A08C1}">
      <dgm:prSet phldrT="[Text]"/>
      <dgm:spPr/>
      <dgm:t>
        <a:bodyPr/>
        <a:lstStyle/>
        <a:p>
          <a:r>
            <a:rPr lang="en-GB"/>
            <a:t>Live</a:t>
          </a:r>
        </a:p>
      </dgm:t>
    </dgm:pt>
    <dgm:pt modelId="{84125FF2-0C17-4105-896D-FFA8DA9B4B23}" type="parTrans" cxnId="{3AB05799-B728-45D2-8DC6-AAF609323D30}">
      <dgm:prSet/>
      <dgm:spPr/>
      <dgm:t>
        <a:bodyPr/>
        <a:lstStyle/>
        <a:p>
          <a:endParaRPr lang="en-GB"/>
        </a:p>
      </dgm:t>
    </dgm:pt>
    <dgm:pt modelId="{1C521A63-80E3-4AE6-817C-BF8ECB1C256D}" type="sibTrans" cxnId="{3AB05799-B728-45D2-8DC6-AAF609323D30}">
      <dgm:prSet/>
      <dgm:spPr/>
      <dgm:t>
        <a:bodyPr/>
        <a:lstStyle/>
        <a:p>
          <a:endParaRPr lang="en-GB"/>
        </a:p>
      </dgm:t>
    </dgm:pt>
    <dgm:pt modelId="{A2987DE3-4A5A-4FAF-B1C6-BFE2E348652F}">
      <dgm:prSet phldrT="[Text]"/>
      <dgm:spPr/>
      <dgm:t>
        <a:bodyPr/>
        <a:lstStyle/>
        <a:p>
          <a:r>
            <a:rPr lang="en-GB"/>
            <a:t>Cadaver</a:t>
          </a:r>
        </a:p>
      </dgm:t>
    </dgm:pt>
    <dgm:pt modelId="{49387588-CAFF-4D97-9D6C-A62D6873F066}" type="parTrans" cxnId="{A01E8585-554C-4CE7-A365-E318BAE79D88}">
      <dgm:prSet/>
      <dgm:spPr/>
      <dgm:t>
        <a:bodyPr/>
        <a:lstStyle/>
        <a:p>
          <a:endParaRPr lang="en-GB"/>
        </a:p>
      </dgm:t>
    </dgm:pt>
    <dgm:pt modelId="{42B6F07E-AC7D-4F77-8B78-3E03ACC2BEFD}" type="sibTrans" cxnId="{A01E8585-554C-4CE7-A365-E318BAE79D88}">
      <dgm:prSet/>
      <dgm:spPr/>
      <dgm:t>
        <a:bodyPr/>
        <a:lstStyle/>
        <a:p>
          <a:endParaRPr lang="en-GB"/>
        </a:p>
      </dgm:t>
    </dgm:pt>
    <dgm:pt modelId="{AE818FA7-66FE-453C-A51E-B9069AC414D3}">
      <dgm:prSet phldrT="[Text]"/>
      <dgm:spPr>
        <a:solidFill>
          <a:schemeClr val="tx2">
            <a:lumMod val="10000"/>
            <a:lumOff val="90000"/>
          </a:schemeClr>
        </a:solidFill>
      </dgm:spPr>
      <dgm:t>
        <a:bodyPr/>
        <a:lstStyle/>
        <a:p>
          <a:r>
            <a:rPr lang="en-GB"/>
            <a:t>Cost of delivering conservative care</a:t>
          </a:r>
        </a:p>
      </dgm:t>
    </dgm:pt>
    <dgm:pt modelId="{B92986B6-4AA0-48FB-9F3E-82E88DF002A6}" type="parTrans" cxnId="{C7899A35-E426-4265-9142-4CC1B2C994CE}">
      <dgm:prSet/>
      <dgm:spPr>
        <a:solidFill>
          <a:schemeClr val="tx2">
            <a:lumMod val="10000"/>
            <a:lumOff val="90000"/>
          </a:schemeClr>
        </a:solidFill>
      </dgm:spPr>
      <dgm:t>
        <a:bodyPr/>
        <a:lstStyle/>
        <a:p>
          <a:endParaRPr lang="en-GB"/>
        </a:p>
      </dgm:t>
    </dgm:pt>
    <dgm:pt modelId="{51063502-F340-4345-B91B-3205402E7749}" type="sibTrans" cxnId="{C7899A35-E426-4265-9142-4CC1B2C994CE}">
      <dgm:prSet/>
      <dgm:spPr/>
      <dgm:t>
        <a:bodyPr/>
        <a:lstStyle/>
        <a:p>
          <a:endParaRPr lang="en-GB"/>
        </a:p>
      </dgm:t>
    </dgm:pt>
    <dgm:pt modelId="{8106C1FB-2EB3-4CCB-A285-B12E0B5CA849}">
      <dgm:prSet phldrT="[Text]"/>
      <dgm:spPr>
        <a:solidFill>
          <a:schemeClr val="tx2">
            <a:lumMod val="10000"/>
            <a:lumOff val="90000"/>
          </a:schemeClr>
        </a:solidFill>
      </dgm:spPr>
      <dgm:t>
        <a:bodyPr/>
        <a:lstStyle/>
        <a:p>
          <a:endParaRPr lang="en-GB"/>
        </a:p>
      </dgm:t>
    </dgm:pt>
    <dgm:pt modelId="{E7409D3A-794D-40A7-9CB4-F996FF93D0C5}" type="parTrans" cxnId="{050406FA-1AA8-4907-A04D-C15E73B4ACE8}">
      <dgm:prSet/>
      <dgm:spPr/>
      <dgm:t>
        <a:bodyPr/>
        <a:lstStyle/>
        <a:p>
          <a:endParaRPr lang="en-GB"/>
        </a:p>
      </dgm:t>
    </dgm:pt>
    <dgm:pt modelId="{5BBCEFD5-9093-41E6-BD2E-2A2533632F88}" type="sibTrans" cxnId="{050406FA-1AA8-4907-A04D-C15E73B4ACE8}">
      <dgm:prSet/>
      <dgm:spPr/>
      <dgm:t>
        <a:bodyPr/>
        <a:lstStyle/>
        <a:p>
          <a:endParaRPr lang="en-GB"/>
        </a:p>
      </dgm:t>
    </dgm:pt>
    <dgm:pt modelId="{C96C0738-5760-48E4-A845-9BD012F2AC7D}">
      <dgm:prSet phldrT="[Text]"/>
      <dgm:spPr/>
      <dgm:t>
        <a:bodyPr/>
        <a:lstStyle/>
        <a:p>
          <a:r>
            <a:rPr lang="en-GB"/>
            <a:t>Cost of delivering ICHD  per person</a:t>
          </a:r>
        </a:p>
      </dgm:t>
    </dgm:pt>
    <dgm:pt modelId="{5BBE2C78-9BEC-40B0-BB89-CF6F2F4F2ECA}" type="parTrans" cxnId="{916BA668-65C3-43E3-9974-174D33BEC767}">
      <dgm:prSet/>
      <dgm:spPr/>
      <dgm:t>
        <a:bodyPr/>
        <a:lstStyle/>
        <a:p>
          <a:endParaRPr lang="en-GB"/>
        </a:p>
      </dgm:t>
    </dgm:pt>
    <dgm:pt modelId="{D2E3F9BD-A2BE-446E-AAC7-80F8C1EC95D7}" type="sibTrans" cxnId="{916BA668-65C3-43E3-9974-174D33BEC767}">
      <dgm:prSet/>
      <dgm:spPr/>
      <dgm:t>
        <a:bodyPr/>
        <a:lstStyle/>
        <a:p>
          <a:endParaRPr lang="en-GB"/>
        </a:p>
      </dgm:t>
    </dgm:pt>
    <dgm:pt modelId="{14C24CF8-D01E-4C09-B727-0E0964F3B4F6}">
      <dgm:prSet phldrT="[Text]"/>
      <dgm:spPr/>
      <dgm:t>
        <a:bodyPr/>
        <a:lstStyle/>
        <a:p>
          <a:r>
            <a:rPr lang="en-GB"/>
            <a:t>Cost of delivering ICHD </a:t>
          </a:r>
        </a:p>
      </dgm:t>
    </dgm:pt>
    <dgm:pt modelId="{368C4A4E-9843-4B9F-8EA5-4A0D288025CA}" type="parTrans" cxnId="{E3F91E7B-D7B7-4170-8F87-5E14E15ECA67}">
      <dgm:prSet/>
      <dgm:spPr/>
      <dgm:t>
        <a:bodyPr/>
        <a:lstStyle/>
        <a:p>
          <a:endParaRPr lang="en-GB"/>
        </a:p>
      </dgm:t>
    </dgm:pt>
    <dgm:pt modelId="{5A4E6575-9C61-4853-9A8D-0D06280E48A6}" type="sibTrans" cxnId="{E3F91E7B-D7B7-4170-8F87-5E14E15ECA67}">
      <dgm:prSet/>
      <dgm:spPr/>
      <dgm:t>
        <a:bodyPr/>
        <a:lstStyle/>
        <a:p>
          <a:endParaRPr lang="en-GB"/>
        </a:p>
      </dgm:t>
    </dgm:pt>
    <dgm:pt modelId="{78368200-05F7-4E40-8A38-55CC74C00BFC}">
      <dgm:prSet phldrT="[Text]"/>
      <dgm:spPr/>
      <dgm:t>
        <a:bodyPr/>
        <a:lstStyle/>
        <a:p>
          <a:r>
            <a:rPr lang="en-GB"/>
            <a:t>Cost of delivering ICHD </a:t>
          </a:r>
        </a:p>
      </dgm:t>
    </dgm:pt>
    <dgm:pt modelId="{092AAFCB-9CC7-4300-8288-19F776192689}" type="parTrans" cxnId="{9038535E-4F2E-4FC7-B4BF-6D90672DF0C7}">
      <dgm:prSet/>
      <dgm:spPr/>
      <dgm:t>
        <a:bodyPr/>
        <a:lstStyle/>
        <a:p>
          <a:endParaRPr lang="en-GB"/>
        </a:p>
      </dgm:t>
    </dgm:pt>
    <dgm:pt modelId="{44D42EB1-492A-444D-8E4B-39496233E9F9}" type="sibTrans" cxnId="{9038535E-4F2E-4FC7-B4BF-6D90672DF0C7}">
      <dgm:prSet/>
      <dgm:spPr/>
      <dgm:t>
        <a:bodyPr/>
        <a:lstStyle/>
        <a:p>
          <a:endParaRPr lang="en-GB"/>
        </a:p>
      </dgm:t>
    </dgm:pt>
    <dgm:pt modelId="{72A43E19-E6BA-4DAD-8A9D-5449A1BA97AE}">
      <dgm:prSet phldrT="[Text]"/>
      <dgm:spPr/>
      <dgm:t>
        <a:bodyPr/>
        <a:lstStyle/>
        <a:p>
          <a:r>
            <a:rPr lang="en-GB"/>
            <a:t>Cost of caring post transplant  </a:t>
          </a:r>
        </a:p>
      </dgm:t>
    </dgm:pt>
    <dgm:pt modelId="{404C9C0E-A60B-4994-BA9E-B616E25A5A82}" type="parTrans" cxnId="{69F859D7-60DC-4D4B-8240-079439F5FE36}">
      <dgm:prSet/>
      <dgm:spPr/>
      <dgm:t>
        <a:bodyPr/>
        <a:lstStyle/>
        <a:p>
          <a:endParaRPr lang="en-GB"/>
        </a:p>
      </dgm:t>
    </dgm:pt>
    <dgm:pt modelId="{F18CB938-577F-40BA-AB55-1EA3EEF94FA6}" type="sibTrans" cxnId="{69F859D7-60DC-4D4B-8240-079439F5FE36}">
      <dgm:prSet/>
      <dgm:spPr/>
      <dgm:t>
        <a:bodyPr/>
        <a:lstStyle/>
        <a:p>
          <a:endParaRPr lang="en-GB"/>
        </a:p>
      </dgm:t>
    </dgm:pt>
    <dgm:pt modelId="{A21BD7FC-8E46-4333-AB1D-7D7CE2ABE23E}">
      <dgm:prSet phldrT="[Text]"/>
      <dgm:spPr/>
      <dgm:t>
        <a:bodyPr/>
        <a:lstStyle/>
        <a:p>
          <a:r>
            <a:rPr lang="en-GB"/>
            <a:t>Cost of caring post transplant  </a:t>
          </a:r>
        </a:p>
      </dgm:t>
    </dgm:pt>
    <dgm:pt modelId="{1748CFBD-BBFC-45C0-9959-34500A34ED2C}" type="parTrans" cxnId="{D6FA4D46-DE11-4DB2-9188-C1322CF3518F}">
      <dgm:prSet/>
      <dgm:spPr/>
      <dgm:t>
        <a:bodyPr/>
        <a:lstStyle/>
        <a:p>
          <a:endParaRPr lang="en-GB"/>
        </a:p>
      </dgm:t>
    </dgm:pt>
    <dgm:pt modelId="{B68A993E-3C50-4F02-8461-33EE24CB81F4}" type="sibTrans" cxnId="{D6FA4D46-DE11-4DB2-9188-C1322CF3518F}">
      <dgm:prSet/>
      <dgm:spPr/>
      <dgm:t>
        <a:bodyPr/>
        <a:lstStyle/>
        <a:p>
          <a:endParaRPr lang="en-GB"/>
        </a:p>
      </dgm:t>
    </dgm:pt>
    <dgm:pt modelId="{30FDD53A-8D16-491D-A15F-B745CF4D9439}">
      <dgm:prSet phldrT="[Text]"/>
      <dgm:spPr>
        <a:solidFill>
          <a:schemeClr val="tx2">
            <a:lumMod val="10000"/>
            <a:lumOff val="90000"/>
          </a:schemeClr>
        </a:solidFill>
      </dgm:spPr>
      <dgm:t>
        <a:bodyPr/>
        <a:lstStyle/>
        <a:p>
          <a:r>
            <a:rPr lang="en-GB"/>
            <a:t>x</a:t>
          </a:r>
        </a:p>
      </dgm:t>
    </dgm:pt>
    <dgm:pt modelId="{09AD0700-4407-4062-B022-6E592A0FA58A}" type="parTrans" cxnId="{766134D4-B8CC-4CAE-A641-F3336399646B}">
      <dgm:prSet/>
      <dgm:spPr/>
      <dgm:t>
        <a:bodyPr/>
        <a:lstStyle/>
        <a:p>
          <a:endParaRPr lang="en-GB"/>
        </a:p>
      </dgm:t>
    </dgm:pt>
    <dgm:pt modelId="{8EC1E3E9-4563-4D45-963E-D16F3E32323E}" type="sibTrans" cxnId="{766134D4-B8CC-4CAE-A641-F3336399646B}">
      <dgm:prSet/>
      <dgm:spPr/>
      <dgm:t>
        <a:bodyPr/>
        <a:lstStyle/>
        <a:p>
          <a:endParaRPr lang="en-GB"/>
        </a:p>
      </dgm:t>
    </dgm:pt>
    <dgm:pt modelId="{EF17F899-03B0-4F10-90A9-5BB7B299C710}">
      <dgm:prSet phldrT="[Text]"/>
      <dgm:spPr>
        <a:solidFill>
          <a:schemeClr val="tx2">
            <a:lumMod val="10000"/>
            <a:lumOff val="90000"/>
          </a:schemeClr>
        </a:solidFill>
      </dgm:spPr>
      <dgm:t>
        <a:bodyPr/>
        <a:lstStyle/>
        <a:p>
          <a:r>
            <a:rPr lang="en-GB"/>
            <a:t>Volume of patients x time they spend here</a:t>
          </a:r>
        </a:p>
      </dgm:t>
    </dgm:pt>
    <dgm:pt modelId="{F6DE747A-5594-471C-A3D7-E3F9766A12FE}" type="parTrans" cxnId="{352E0AFB-24CD-4D76-9455-0CA91CDBEA08}">
      <dgm:prSet/>
      <dgm:spPr/>
      <dgm:t>
        <a:bodyPr/>
        <a:lstStyle/>
        <a:p>
          <a:endParaRPr lang="en-GB"/>
        </a:p>
      </dgm:t>
    </dgm:pt>
    <dgm:pt modelId="{A14519A4-DF6F-4345-97BE-216D39FA6429}" type="sibTrans" cxnId="{352E0AFB-24CD-4D76-9455-0CA91CDBEA08}">
      <dgm:prSet/>
      <dgm:spPr/>
      <dgm:t>
        <a:bodyPr/>
        <a:lstStyle/>
        <a:p>
          <a:endParaRPr lang="en-GB"/>
        </a:p>
      </dgm:t>
    </dgm:pt>
    <dgm:pt modelId="{700FF247-B690-48A1-8F11-CE1F71494E69}">
      <dgm:prSet phldrT="[Text]"/>
      <dgm:spPr>
        <a:solidFill>
          <a:schemeClr val="tx2">
            <a:lumMod val="10000"/>
            <a:lumOff val="90000"/>
          </a:schemeClr>
        </a:solidFill>
      </dgm:spPr>
      <dgm:t>
        <a:bodyPr/>
        <a:lstStyle/>
        <a:p>
          <a:r>
            <a:rPr lang="en-GB"/>
            <a:t>= cost per person x person time</a:t>
          </a:r>
        </a:p>
      </dgm:t>
    </dgm:pt>
    <dgm:pt modelId="{C32ED9B4-3E78-4DDC-A863-96136C9CB613}" type="parTrans" cxnId="{3A929E98-8FDF-4ACE-86D1-3F7FD80D05A1}">
      <dgm:prSet/>
      <dgm:spPr/>
      <dgm:t>
        <a:bodyPr/>
        <a:lstStyle/>
        <a:p>
          <a:endParaRPr lang="en-GB"/>
        </a:p>
      </dgm:t>
    </dgm:pt>
    <dgm:pt modelId="{52B8235A-588D-416D-89EE-A4180113CF3D}" type="sibTrans" cxnId="{3A929E98-8FDF-4ACE-86D1-3F7FD80D05A1}">
      <dgm:prSet/>
      <dgm:spPr/>
      <dgm:t>
        <a:bodyPr/>
        <a:lstStyle/>
        <a:p>
          <a:endParaRPr lang="en-GB"/>
        </a:p>
      </dgm:t>
    </dgm:pt>
    <dgm:pt modelId="{22B715A1-7759-4735-B789-02883D13EA1F}">
      <dgm:prSet phldrT="[Text]"/>
      <dgm:spPr>
        <a:solidFill>
          <a:schemeClr val="tx2">
            <a:lumMod val="10000"/>
            <a:lumOff val="90000"/>
          </a:schemeClr>
        </a:solidFill>
      </dgm:spPr>
      <dgm:t>
        <a:bodyPr/>
        <a:lstStyle/>
        <a:p>
          <a:r>
            <a:rPr lang="en-GB"/>
            <a:t>Total Cost CC</a:t>
          </a:r>
        </a:p>
      </dgm:t>
    </dgm:pt>
    <dgm:pt modelId="{CAB965D5-11D4-4D85-86E3-B48CE2FB52FB}" type="parTrans" cxnId="{1E45F045-3078-409A-A7B1-E18E47F652F6}">
      <dgm:prSet/>
      <dgm:spPr/>
      <dgm:t>
        <a:bodyPr/>
        <a:lstStyle/>
        <a:p>
          <a:endParaRPr lang="en-GB"/>
        </a:p>
      </dgm:t>
    </dgm:pt>
    <dgm:pt modelId="{CC4A1F4B-8BB0-4BC4-A367-725B27E3E4A3}" type="sibTrans" cxnId="{1E45F045-3078-409A-A7B1-E18E47F652F6}">
      <dgm:prSet/>
      <dgm:spPr/>
      <dgm:t>
        <a:bodyPr/>
        <a:lstStyle/>
        <a:p>
          <a:endParaRPr lang="en-GB"/>
        </a:p>
      </dgm:t>
    </dgm:pt>
    <dgm:pt modelId="{0D025768-1A3D-4077-8E72-5D9A8F021D4F}">
      <dgm:prSet phldrT="[Text]"/>
      <dgm:spPr/>
      <dgm:t>
        <a:bodyPr/>
        <a:lstStyle/>
        <a:p>
          <a:r>
            <a:rPr lang="en-GB"/>
            <a:t>x</a:t>
          </a:r>
        </a:p>
      </dgm:t>
    </dgm:pt>
    <dgm:pt modelId="{81EABEA9-DABF-434E-B793-BEEABE2D7523}" type="parTrans" cxnId="{26E0BE49-448C-4548-9975-2F48ABF5848F}">
      <dgm:prSet/>
      <dgm:spPr/>
      <dgm:t>
        <a:bodyPr/>
        <a:lstStyle/>
        <a:p>
          <a:endParaRPr lang="en-GB"/>
        </a:p>
      </dgm:t>
    </dgm:pt>
    <dgm:pt modelId="{F02107B4-CC3E-4231-8BBC-775EB6C06C97}" type="sibTrans" cxnId="{26E0BE49-448C-4548-9975-2F48ABF5848F}">
      <dgm:prSet/>
      <dgm:spPr/>
      <dgm:t>
        <a:bodyPr/>
        <a:lstStyle/>
        <a:p>
          <a:endParaRPr lang="en-GB"/>
        </a:p>
      </dgm:t>
    </dgm:pt>
    <dgm:pt modelId="{5F483117-7082-408B-A172-BBD6D8A0D3B6}">
      <dgm:prSet phldrT="[Text]"/>
      <dgm:spPr/>
      <dgm:t>
        <a:bodyPr/>
        <a:lstStyle/>
        <a:p>
          <a:r>
            <a:rPr lang="en-GB"/>
            <a:t>Volume of patients x time they spend here</a:t>
          </a:r>
        </a:p>
      </dgm:t>
    </dgm:pt>
    <dgm:pt modelId="{77557A6E-E1E3-401F-A22D-8636B99DD043}" type="parTrans" cxnId="{86CD90EA-AA53-42D8-A6C8-D65E81047630}">
      <dgm:prSet/>
      <dgm:spPr/>
      <dgm:t>
        <a:bodyPr/>
        <a:lstStyle/>
        <a:p>
          <a:endParaRPr lang="en-GB"/>
        </a:p>
      </dgm:t>
    </dgm:pt>
    <dgm:pt modelId="{B05F5CAB-39D4-4BB1-A3AC-7F96AC638169}" type="sibTrans" cxnId="{86CD90EA-AA53-42D8-A6C8-D65E81047630}">
      <dgm:prSet/>
      <dgm:spPr/>
      <dgm:t>
        <a:bodyPr/>
        <a:lstStyle/>
        <a:p>
          <a:endParaRPr lang="en-GB"/>
        </a:p>
      </dgm:t>
    </dgm:pt>
    <dgm:pt modelId="{E541BC02-B744-4520-9520-42E8BFB3C178}">
      <dgm:prSet phldrT="[Text]"/>
      <dgm:spPr/>
      <dgm:t>
        <a:bodyPr/>
        <a:lstStyle/>
        <a:p>
          <a:r>
            <a:rPr lang="en-GB"/>
            <a:t>= cost per person x person time</a:t>
          </a:r>
        </a:p>
      </dgm:t>
    </dgm:pt>
    <dgm:pt modelId="{20F19BCA-33B1-4338-92E7-865F0CEE3F87}" type="parTrans" cxnId="{35C9579F-53B5-41EF-8265-BDC087A1B602}">
      <dgm:prSet/>
      <dgm:spPr/>
      <dgm:t>
        <a:bodyPr/>
        <a:lstStyle/>
        <a:p>
          <a:endParaRPr lang="en-GB"/>
        </a:p>
      </dgm:t>
    </dgm:pt>
    <dgm:pt modelId="{547F6787-C672-4304-8347-7F3BE169C123}" type="sibTrans" cxnId="{35C9579F-53B5-41EF-8265-BDC087A1B602}">
      <dgm:prSet/>
      <dgm:spPr/>
      <dgm:t>
        <a:bodyPr/>
        <a:lstStyle/>
        <a:p>
          <a:endParaRPr lang="en-GB"/>
        </a:p>
      </dgm:t>
    </dgm:pt>
    <dgm:pt modelId="{4D222076-3CE8-40D1-A8BA-FE892BB40D65}">
      <dgm:prSet phldrT="[Text]"/>
      <dgm:spPr/>
      <dgm:t>
        <a:bodyPr/>
        <a:lstStyle/>
        <a:p>
          <a:r>
            <a:rPr lang="en-GB"/>
            <a:t>Total Cost ICHD</a:t>
          </a:r>
        </a:p>
      </dgm:t>
    </dgm:pt>
    <dgm:pt modelId="{FCF8BD5F-24C7-4080-9F53-F57A45CB0DDE}" type="parTrans" cxnId="{E35F4070-DEAB-4875-9845-36F4D1F32C2B}">
      <dgm:prSet/>
      <dgm:spPr/>
      <dgm:t>
        <a:bodyPr/>
        <a:lstStyle/>
        <a:p>
          <a:endParaRPr lang="en-GB"/>
        </a:p>
      </dgm:t>
    </dgm:pt>
    <dgm:pt modelId="{089179DC-6B5F-4FDF-9CF6-019859A3296E}" type="sibTrans" cxnId="{E35F4070-DEAB-4875-9845-36F4D1F32C2B}">
      <dgm:prSet/>
      <dgm:spPr/>
      <dgm:t>
        <a:bodyPr/>
        <a:lstStyle/>
        <a:p>
          <a:endParaRPr lang="en-GB"/>
        </a:p>
      </dgm:t>
    </dgm:pt>
    <dgm:pt modelId="{32DA57A2-2FE9-46BB-A8E5-4E17455AA026}">
      <dgm:prSet phldrT="[Text]"/>
      <dgm:spPr/>
      <dgm:t>
        <a:bodyPr/>
        <a:lstStyle/>
        <a:p>
          <a:r>
            <a:rPr lang="en-GB"/>
            <a:t>x</a:t>
          </a:r>
        </a:p>
      </dgm:t>
    </dgm:pt>
    <dgm:pt modelId="{7A0B60A3-D761-4EFD-96BB-E14801E35819}" type="parTrans" cxnId="{47708774-538F-46AA-8CF6-682430497A6B}">
      <dgm:prSet/>
      <dgm:spPr/>
      <dgm:t>
        <a:bodyPr/>
        <a:lstStyle/>
        <a:p>
          <a:endParaRPr lang="en-GB"/>
        </a:p>
      </dgm:t>
    </dgm:pt>
    <dgm:pt modelId="{239D64D8-132A-4A41-AEE6-7C6177C1C4E7}" type="sibTrans" cxnId="{47708774-538F-46AA-8CF6-682430497A6B}">
      <dgm:prSet/>
      <dgm:spPr/>
      <dgm:t>
        <a:bodyPr/>
        <a:lstStyle/>
        <a:p>
          <a:endParaRPr lang="en-GB"/>
        </a:p>
      </dgm:t>
    </dgm:pt>
    <dgm:pt modelId="{46EC3575-2C61-4F94-94CB-9246DD8E0DF6}">
      <dgm:prSet phldrT="[Text]"/>
      <dgm:spPr/>
      <dgm:t>
        <a:bodyPr/>
        <a:lstStyle/>
        <a:p>
          <a:r>
            <a:rPr lang="en-GB"/>
            <a:t>Volume of patients x time they spend here</a:t>
          </a:r>
        </a:p>
      </dgm:t>
    </dgm:pt>
    <dgm:pt modelId="{94F96DEC-6E2B-456C-A551-2A26B53E8A43}" type="parTrans" cxnId="{23199980-955B-47A3-ACA2-587877CDDC6E}">
      <dgm:prSet/>
      <dgm:spPr/>
      <dgm:t>
        <a:bodyPr/>
        <a:lstStyle/>
        <a:p>
          <a:endParaRPr lang="en-GB"/>
        </a:p>
      </dgm:t>
    </dgm:pt>
    <dgm:pt modelId="{C556CCD6-81C7-448C-AEC1-218AED25276A}" type="sibTrans" cxnId="{23199980-955B-47A3-ACA2-587877CDDC6E}">
      <dgm:prSet/>
      <dgm:spPr/>
      <dgm:t>
        <a:bodyPr/>
        <a:lstStyle/>
        <a:p>
          <a:endParaRPr lang="en-GB"/>
        </a:p>
      </dgm:t>
    </dgm:pt>
    <dgm:pt modelId="{5AC49862-522C-4072-A2EA-F8B0338631E2}">
      <dgm:prSet phldrT="[Text]"/>
      <dgm:spPr/>
      <dgm:t>
        <a:bodyPr/>
        <a:lstStyle/>
        <a:p>
          <a:r>
            <a:rPr lang="en-GB"/>
            <a:t>= cost per person x person time</a:t>
          </a:r>
        </a:p>
      </dgm:t>
    </dgm:pt>
    <dgm:pt modelId="{28C9985C-DA3C-4393-BC4C-8A33A9073F70}" type="parTrans" cxnId="{2D820930-1303-485F-8872-833D376E0139}">
      <dgm:prSet/>
      <dgm:spPr/>
      <dgm:t>
        <a:bodyPr/>
        <a:lstStyle/>
        <a:p>
          <a:endParaRPr lang="en-GB"/>
        </a:p>
      </dgm:t>
    </dgm:pt>
    <dgm:pt modelId="{984D57EC-BEA7-495A-A1E8-87CE7A0B922F}" type="sibTrans" cxnId="{2D820930-1303-485F-8872-833D376E0139}">
      <dgm:prSet/>
      <dgm:spPr/>
      <dgm:t>
        <a:bodyPr/>
        <a:lstStyle/>
        <a:p>
          <a:endParaRPr lang="en-GB"/>
        </a:p>
      </dgm:t>
    </dgm:pt>
    <dgm:pt modelId="{369CBC4C-9F54-4403-B0CB-47F11AD6A209}">
      <dgm:prSet phldrT="[Text]"/>
      <dgm:spPr/>
      <dgm:t>
        <a:bodyPr/>
        <a:lstStyle/>
        <a:p>
          <a:r>
            <a:rPr lang="en-GB"/>
            <a:t>Total Cost HHD</a:t>
          </a:r>
        </a:p>
      </dgm:t>
    </dgm:pt>
    <dgm:pt modelId="{36253B9C-E56B-4137-B7C7-2F44E4835167}" type="parTrans" cxnId="{D67E53BD-3DF1-4B6B-AAC3-6DF46D940C52}">
      <dgm:prSet/>
      <dgm:spPr/>
      <dgm:t>
        <a:bodyPr/>
        <a:lstStyle/>
        <a:p>
          <a:endParaRPr lang="en-GB"/>
        </a:p>
      </dgm:t>
    </dgm:pt>
    <dgm:pt modelId="{EE4917D1-1F0C-4BD7-8F6A-CED0E0FE797A}" type="sibTrans" cxnId="{D67E53BD-3DF1-4B6B-AAC3-6DF46D940C52}">
      <dgm:prSet/>
      <dgm:spPr/>
      <dgm:t>
        <a:bodyPr/>
        <a:lstStyle/>
        <a:p>
          <a:endParaRPr lang="en-GB"/>
        </a:p>
      </dgm:t>
    </dgm:pt>
    <dgm:pt modelId="{EF59DEBA-3D6F-4B91-A318-9B2AAF29B070}">
      <dgm:prSet phldrT="[Text]"/>
      <dgm:spPr/>
      <dgm:t>
        <a:bodyPr/>
        <a:lstStyle/>
        <a:p>
          <a:r>
            <a:rPr lang="en-GB"/>
            <a:t>x</a:t>
          </a:r>
        </a:p>
      </dgm:t>
    </dgm:pt>
    <dgm:pt modelId="{65132BBA-6634-4763-9A4C-927007D68174}" type="parTrans" cxnId="{4BD33C3D-3178-488C-AE42-A167815B03CF}">
      <dgm:prSet/>
      <dgm:spPr/>
      <dgm:t>
        <a:bodyPr/>
        <a:lstStyle/>
        <a:p>
          <a:endParaRPr lang="en-GB"/>
        </a:p>
      </dgm:t>
    </dgm:pt>
    <dgm:pt modelId="{2B4E8845-DB21-4AEF-A200-284A2609DD85}" type="sibTrans" cxnId="{4BD33C3D-3178-488C-AE42-A167815B03CF}">
      <dgm:prSet/>
      <dgm:spPr/>
      <dgm:t>
        <a:bodyPr/>
        <a:lstStyle/>
        <a:p>
          <a:endParaRPr lang="en-GB"/>
        </a:p>
      </dgm:t>
    </dgm:pt>
    <dgm:pt modelId="{DFA1E77A-9E29-4A5A-A936-2662EFE2F365}">
      <dgm:prSet phldrT="[Text]"/>
      <dgm:spPr/>
      <dgm:t>
        <a:bodyPr/>
        <a:lstStyle/>
        <a:p>
          <a:r>
            <a:rPr lang="en-GB"/>
            <a:t>Volume of patients x time they spend here</a:t>
          </a:r>
        </a:p>
      </dgm:t>
    </dgm:pt>
    <dgm:pt modelId="{B9FD5E08-0694-4032-B46A-65ABDB900A6B}" type="parTrans" cxnId="{54BBDF43-8E24-4182-9011-520D8FF47D8F}">
      <dgm:prSet/>
      <dgm:spPr/>
      <dgm:t>
        <a:bodyPr/>
        <a:lstStyle/>
        <a:p>
          <a:endParaRPr lang="en-GB"/>
        </a:p>
      </dgm:t>
    </dgm:pt>
    <dgm:pt modelId="{D098DAD4-1CF3-4342-8874-0D2C9357A2B5}" type="sibTrans" cxnId="{54BBDF43-8E24-4182-9011-520D8FF47D8F}">
      <dgm:prSet/>
      <dgm:spPr/>
      <dgm:t>
        <a:bodyPr/>
        <a:lstStyle/>
        <a:p>
          <a:endParaRPr lang="en-GB"/>
        </a:p>
      </dgm:t>
    </dgm:pt>
    <dgm:pt modelId="{69514321-14FF-45DB-85E6-7557B241902E}">
      <dgm:prSet phldrT="[Text]"/>
      <dgm:spPr/>
      <dgm:t>
        <a:bodyPr/>
        <a:lstStyle/>
        <a:p>
          <a:r>
            <a:rPr lang="en-GB"/>
            <a:t>= cost per person x person time</a:t>
          </a:r>
        </a:p>
      </dgm:t>
    </dgm:pt>
    <dgm:pt modelId="{2E6245A3-0459-47A9-A034-1F5E86079A67}" type="parTrans" cxnId="{D92ED96E-DFD4-48BB-8A6E-739CF3F45926}">
      <dgm:prSet/>
      <dgm:spPr/>
      <dgm:t>
        <a:bodyPr/>
        <a:lstStyle/>
        <a:p>
          <a:endParaRPr lang="en-GB"/>
        </a:p>
      </dgm:t>
    </dgm:pt>
    <dgm:pt modelId="{E2961E10-9A55-4F72-9463-3CF1F3802AF5}" type="sibTrans" cxnId="{D92ED96E-DFD4-48BB-8A6E-739CF3F45926}">
      <dgm:prSet/>
      <dgm:spPr/>
      <dgm:t>
        <a:bodyPr/>
        <a:lstStyle/>
        <a:p>
          <a:endParaRPr lang="en-GB"/>
        </a:p>
      </dgm:t>
    </dgm:pt>
    <dgm:pt modelId="{A0D3F31F-6EA4-4543-A7CD-950F3FD69CB5}">
      <dgm:prSet phldrT="[Text]"/>
      <dgm:spPr/>
      <dgm:t>
        <a:bodyPr/>
        <a:lstStyle/>
        <a:p>
          <a:r>
            <a:rPr lang="en-GB"/>
            <a:t>Total Cost PD</a:t>
          </a:r>
        </a:p>
      </dgm:t>
    </dgm:pt>
    <dgm:pt modelId="{F813F40D-B438-4529-9CC3-1C537F085921}" type="parTrans" cxnId="{1EA87E77-A672-4CC0-8BF5-3F5925DA53AA}">
      <dgm:prSet/>
      <dgm:spPr/>
      <dgm:t>
        <a:bodyPr/>
        <a:lstStyle/>
        <a:p>
          <a:endParaRPr lang="en-GB"/>
        </a:p>
      </dgm:t>
    </dgm:pt>
    <dgm:pt modelId="{34428773-57D2-4F5E-9CD9-30E435C04DEC}" type="sibTrans" cxnId="{1EA87E77-A672-4CC0-8BF5-3F5925DA53AA}">
      <dgm:prSet/>
      <dgm:spPr/>
      <dgm:t>
        <a:bodyPr/>
        <a:lstStyle/>
        <a:p>
          <a:endParaRPr lang="en-GB"/>
        </a:p>
      </dgm:t>
    </dgm:pt>
    <dgm:pt modelId="{7E0309F5-89B1-476B-A4F2-83751D359304}">
      <dgm:prSet phldrT="[Text]"/>
      <dgm:spPr/>
      <dgm:t>
        <a:bodyPr/>
        <a:lstStyle/>
        <a:p>
          <a:r>
            <a:rPr lang="en-GB"/>
            <a:t>x</a:t>
          </a:r>
        </a:p>
      </dgm:t>
    </dgm:pt>
    <dgm:pt modelId="{CD804DD5-43ED-4AE6-BBAA-F05C5AAA60CB}" type="parTrans" cxnId="{3CEEB081-4C37-4A77-9B0A-6B5E41C4A15B}">
      <dgm:prSet/>
      <dgm:spPr/>
      <dgm:t>
        <a:bodyPr/>
        <a:lstStyle/>
        <a:p>
          <a:endParaRPr lang="en-GB"/>
        </a:p>
      </dgm:t>
    </dgm:pt>
    <dgm:pt modelId="{F6C1CE24-99D0-42C6-8273-744F76E6CED1}" type="sibTrans" cxnId="{3CEEB081-4C37-4A77-9B0A-6B5E41C4A15B}">
      <dgm:prSet/>
      <dgm:spPr/>
      <dgm:t>
        <a:bodyPr/>
        <a:lstStyle/>
        <a:p>
          <a:endParaRPr lang="en-GB"/>
        </a:p>
      </dgm:t>
    </dgm:pt>
    <dgm:pt modelId="{6AC2112A-40BC-46C9-ADFE-67D3ABE4C3BE}">
      <dgm:prSet phldrT="[Text]"/>
      <dgm:spPr/>
      <dgm:t>
        <a:bodyPr/>
        <a:lstStyle/>
        <a:p>
          <a:r>
            <a:rPr lang="en-GB"/>
            <a:t>Volume of patients x time they spend here</a:t>
          </a:r>
        </a:p>
      </dgm:t>
    </dgm:pt>
    <dgm:pt modelId="{1A127066-6B48-4007-8536-C9C259991FB9}" type="parTrans" cxnId="{C25FEEA1-5E34-4E51-9005-F42B074108C8}">
      <dgm:prSet/>
      <dgm:spPr/>
      <dgm:t>
        <a:bodyPr/>
        <a:lstStyle/>
        <a:p>
          <a:endParaRPr lang="en-GB"/>
        </a:p>
      </dgm:t>
    </dgm:pt>
    <dgm:pt modelId="{F1E19F98-68F0-4121-9E89-98B648C20D5F}" type="sibTrans" cxnId="{C25FEEA1-5E34-4E51-9005-F42B074108C8}">
      <dgm:prSet/>
      <dgm:spPr/>
      <dgm:t>
        <a:bodyPr/>
        <a:lstStyle/>
        <a:p>
          <a:endParaRPr lang="en-GB"/>
        </a:p>
      </dgm:t>
    </dgm:pt>
    <dgm:pt modelId="{E1DAC3A4-3C67-4C29-9909-C4505273F929}">
      <dgm:prSet phldrT="[Text]"/>
      <dgm:spPr/>
      <dgm:t>
        <a:bodyPr/>
        <a:lstStyle/>
        <a:p>
          <a:r>
            <a:rPr lang="en-GB"/>
            <a:t>= cost per person x person time</a:t>
          </a:r>
        </a:p>
      </dgm:t>
    </dgm:pt>
    <dgm:pt modelId="{72E59651-AF70-4217-97EC-61A12291FE7E}" type="parTrans" cxnId="{4EF36C34-FCB2-4A82-A4C9-E4F25D600254}">
      <dgm:prSet/>
      <dgm:spPr/>
      <dgm:t>
        <a:bodyPr/>
        <a:lstStyle/>
        <a:p>
          <a:endParaRPr lang="en-GB"/>
        </a:p>
      </dgm:t>
    </dgm:pt>
    <dgm:pt modelId="{CC70C054-E6E8-434D-B9FF-ACD3A1DB4741}" type="sibTrans" cxnId="{4EF36C34-FCB2-4A82-A4C9-E4F25D600254}">
      <dgm:prSet/>
      <dgm:spPr/>
      <dgm:t>
        <a:bodyPr/>
        <a:lstStyle/>
        <a:p>
          <a:endParaRPr lang="en-GB"/>
        </a:p>
      </dgm:t>
    </dgm:pt>
    <dgm:pt modelId="{55585C46-0E9F-4E4D-8C29-B5A92C96E2FB}">
      <dgm:prSet phldrT="[Text]"/>
      <dgm:spPr/>
      <dgm:t>
        <a:bodyPr/>
        <a:lstStyle/>
        <a:p>
          <a:r>
            <a:rPr lang="en-GB"/>
            <a:t>Total Cost Live Tx</a:t>
          </a:r>
        </a:p>
      </dgm:t>
    </dgm:pt>
    <dgm:pt modelId="{C54DD4B5-E0A6-4AE3-9DFD-50D6C503C6F7}" type="parTrans" cxnId="{55BD8C03-393C-43A2-86DE-2CDC369C1CB4}">
      <dgm:prSet/>
      <dgm:spPr/>
      <dgm:t>
        <a:bodyPr/>
        <a:lstStyle/>
        <a:p>
          <a:endParaRPr lang="en-GB"/>
        </a:p>
      </dgm:t>
    </dgm:pt>
    <dgm:pt modelId="{9BE15EBA-A877-4A80-A0C6-13E54974809D}" type="sibTrans" cxnId="{55BD8C03-393C-43A2-86DE-2CDC369C1CB4}">
      <dgm:prSet/>
      <dgm:spPr/>
      <dgm:t>
        <a:bodyPr/>
        <a:lstStyle/>
        <a:p>
          <a:endParaRPr lang="en-GB"/>
        </a:p>
      </dgm:t>
    </dgm:pt>
    <dgm:pt modelId="{77B1BA3B-47DD-479A-9CF6-7E76361FA719}">
      <dgm:prSet phldrT="[Text]"/>
      <dgm:spPr/>
      <dgm:t>
        <a:bodyPr/>
        <a:lstStyle/>
        <a:p>
          <a:r>
            <a:rPr lang="en-GB"/>
            <a:t>x</a:t>
          </a:r>
        </a:p>
      </dgm:t>
    </dgm:pt>
    <dgm:pt modelId="{56D7570C-2C59-4619-998A-06FF107FFCF0}" type="parTrans" cxnId="{D61CAEB2-6624-46A0-9DD5-6D4D4CF8C09B}">
      <dgm:prSet/>
      <dgm:spPr/>
      <dgm:t>
        <a:bodyPr/>
        <a:lstStyle/>
        <a:p>
          <a:endParaRPr lang="en-GB"/>
        </a:p>
      </dgm:t>
    </dgm:pt>
    <dgm:pt modelId="{25C4C778-215A-4E37-91E0-4E4DD6819C40}" type="sibTrans" cxnId="{D61CAEB2-6624-46A0-9DD5-6D4D4CF8C09B}">
      <dgm:prSet/>
      <dgm:spPr/>
      <dgm:t>
        <a:bodyPr/>
        <a:lstStyle/>
        <a:p>
          <a:endParaRPr lang="en-GB"/>
        </a:p>
      </dgm:t>
    </dgm:pt>
    <dgm:pt modelId="{EEC87C26-609B-41BA-9470-9A5B7852CDBB}">
      <dgm:prSet phldrT="[Text]"/>
      <dgm:spPr/>
      <dgm:t>
        <a:bodyPr/>
        <a:lstStyle/>
        <a:p>
          <a:r>
            <a:rPr lang="en-GB"/>
            <a:t>Volume of patients x time they spend here</a:t>
          </a:r>
        </a:p>
      </dgm:t>
    </dgm:pt>
    <dgm:pt modelId="{E9F65EC5-E5F2-400A-81C3-B6CA1868D0DC}" type="parTrans" cxnId="{56BFFF6B-1073-406E-A867-2A831BEC6FC1}">
      <dgm:prSet/>
      <dgm:spPr/>
      <dgm:t>
        <a:bodyPr/>
        <a:lstStyle/>
        <a:p>
          <a:endParaRPr lang="en-GB"/>
        </a:p>
      </dgm:t>
    </dgm:pt>
    <dgm:pt modelId="{47AD2BA3-5D40-46FB-9208-4776BACD7B64}" type="sibTrans" cxnId="{56BFFF6B-1073-406E-A867-2A831BEC6FC1}">
      <dgm:prSet/>
      <dgm:spPr/>
      <dgm:t>
        <a:bodyPr/>
        <a:lstStyle/>
        <a:p>
          <a:endParaRPr lang="en-GB"/>
        </a:p>
      </dgm:t>
    </dgm:pt>
    <dgm:pt modelId="{D1358A50-4042-4E18-9F1B-8B07C5F7CBDE}">
      <dgm:prSet phldrT="[Text]"/>
      <dgm:spPr/>
      <dgm:t>
        <a:bodyPr/>
        <a:lstStyle/>
        <a:p>
          <a:r>
            <a:rPr lang="en-GB"/>
            <a:t>= cost per person x person time</a:t>
          </a:r>
        </a:p>
      </dgm:t>
    </dgm:pt>
    <dgm:pt modelId="{B90D5A3F-69EA-4A85-948A-9DB92E9E99F7}" type="parTrans" cxnId="{3171E767-6AEE-418A-8DCF-37E60B644F26}">
      <dgm:prSet/>
      <dgm:spPr/>
      <dgm:t>
        <a:bodyPr/>
        <a:lstStyle/>
        <a:p>
          <a:endParaRPr lang="en-GB"/>
        </a:p>
      </dgm:t>
    </dgm:pt>
    <dgm:pt modelId="{4D1750FB-ABAE-46D1-AC01-0ED27C53C4EA}" type="sibTrans" cxnId="{3171E767-6AEE-418A-8DCF-37E60B644F26}">
      <dgm:prSet/>
      <dgm:spPr/>
      <dgm:t>
        <a:bodyPr/>
        <a:lstStyle/>
        <a:p>
          <a:endParaRPr lang="en-GB"/>
        </a:p>
      </dgm:t>
    </dgm:pt>
    <dgm:pt modelId="{C82CC8D5-C05B-40A8-8393-3A496A624C8A}">
      <dgm:prSet phldrT="[Text]"/>
      <dgm:spPr/>
      <dgm:t>
        <a:bodyPr/>
        <a:lstStyle/>
        <a:p>
          <a:r>
            <a:rPr lang="en-GB"/>
            <a:t>Total Cost Cadaver Tx</a:t>
          </a:r>
        </a:p>
      </dgm:t>
    </dgm:pt>
    <dgm:pt modelId="{B5021C20-6736-4C2D-BF70-957FD4816D32}" type="parTrans" cxnId="{CB693BF2-DC3E-464F-B212-D346974FF06B}">
      <dgm:prSet/>
      <dgm:spPr/>
      <dgm:t>
        <a:bodyPr/>
        <a:lstStyle/>
        <a:p>
          <a:endParaRPr lang="en-GB"/>
        </a:p>
      </dgm:t>
    </dgm:pt>
    <dgm:pt modelId="{01B2943A-3ECE-405A-8222-632007E7C92D}" type="sibTrans" cxnId="{CB693BF2-DC3E-464F-B212-D346974FF06B}">
      <dgm:prSet/>
      <dgm:spPr/>
      <dgm:t>
        <a:bodyPr/>
        <a:lstStyle/>
        <a:p>
          <a:endParaRPr lang="en-GB"/>
        </a:p>
      </dgm:t>
    </dgm:pt>
    <dgm:pt modelId="{A90AE215-7FCE-4189-880B-83DF33CBADA3}" type="pres">
      <dgm:prSet presAssocID="{8079D0D9-A099-4D09-B709-073133AB03F8}" presName="diagram" presStyleCnt="0">
        <dgm:presLayoutVars>
          <dgm:chPref val="1"/>
          <dgm:dir/>
          <dgm:animOne val="branch"/>
          <dgm:animLvl val="lvl"/>
          <dgm:resizeHandles val="exact"/>
        </dgm:presLayoutVars>
      </dgm:prSet>
      <dgm:spPr/>
    </dgm:pt>
    <dgm:pt modelId="{B9A0AF61-12D9-4ED8-8893-6F6BFCA920B5}" type="pres">
      <dgm:prSet presAssocID="{1B8C6820-FA13-4863-B0B9-BFE25798CF7E}" presName="root1" presStyleCnt="0"/>
      <dgm:spPr/>
    </dgm:pt>
    <dgm:pt modelId="{D92A483E-584E-4BE9-9E81-16EB31341344}" type="pres">
      <dgm:prSet presAssocID="{1B8C6820-FA13-4863-B0B9-BFE25798CF7E}" presName="LevelOneTextNode" presStyleLbl="node0" presStyleIdx="0" presStyleCnt="1">
        <dgm:presLayoutVars>
          <dgm:chPref val="3"/>
        </dgm:presLayoutVars>
      </dgm:prSet>
      <dgm:spPr/>
    </dgm:pt>
    <dgm:pt modelId="{5F8FEBD3-2825-4F65-81FA-4B7298EBA325}" type="pres">
      <dgm:prSet presAssocID="{1B8C6820-FA13-4863-B0B9-BFE25798CF7E}" presName="level2hierChild" presStyleCnt="0"/>
      <dgm:spPr/>
    </dgm:pt>
    <dgm:pt modelId="{BC67764E-F868-4BC7-88D4-3FB4FCFB2B03}" type="pres">
      <dgm:prSet presAssocID="{2CEBF63B-C260-41A3-975B-DB9DF49F1189}" presName="conn2-1" presStyleLbl="parChTrans1D2" presStyleIdx="0" presStyleCnt="3"/>
      <dgm:spPr/>
    </dgm:pt>
    <dgm:pt modelId="{37F719F0-2622-48BB-AC61-9B4798BB4589}" type="pres">
      <dgm:prSet presAssocID="{2CEBF63B-C260-41A3-975B-DB9DF49F1189}" presName="connTx" presStyleLbl="parChTrans1D2" presStyleIdx="0" presStyleCnt="3"/>
      <dgm:spPr/>
    </dgm:pt>
    <dgm:pt modelId="{F2EFD06C-BA8B-4287-A5C3-FFE6B72D9E9B}" type="pres">
      <dgm:prSet presAssocID="{F6A0651C-3D39-4949-8872-2A0B2D77122D}" presName="root2" presStyleCnt="0"/>
      <dgm:spPr/>
    </dgm:pt>
    <dgm:pt modelId="{58126035-A1CC-4804-BB45-A7E54E1B14D3}" type="pres">
      <dgm:prSet presAssocID="{F6A0651C-3D39-4949-8872-2A0B2D77122D}" presName="LevelTwoTextNode" presStyleLbl="node2" presStyleIdx="0" presStyleCnt="3">
        <dgm:presLayoutVars>
          <dgm:chPref val="3"/>
        </dgm:presLayoutVars>
      </dgm:prSet>
      <dgm:spPr/>
    </dgm:pt>
    <dgm:pt modelId="{0DE5F125-73EF-4B4E-AE80-9CB85D41B86C}" type="pres">
      <dgm:prSet presAssocID="{F6A0651C-3D39-4949-8872-2A0B2D77122D}" presName="level3hierChild" presStyleCnt="0"/>
      <dgm:spPr/>
    </dgm:pt>
    <dgm:pt modelId="{B857DDB7-FDF2-4AB5-B907-54C4D3C617BF}" type="pres">
      <dgm:prSet presAssocID="{E7409D3A-794D-40A7-9CB4-F996FF93D0C5}" presName="conn2-1" presStyleLbl="parChTrans1D3" presStyleIdx="0" presStyleCnt="6"/>
      <dgm:spPr/>
    </dgm:pt>
    <dgm:pt modelId="{784A4196-5237-4BCF-9946-8FF02AEA1C2B}" type="pres">
      <dgm:prSet presAssocID="{E7409D3A-794D-40A7-9CB4-F996FF93D0C5}" presName="connTx" presStyleLbl="parChTrans1D3" presStyleIdx="0" presStyleCnt="6"/>
      <dgm:spPr/>
    </dgm:pt>
    <dgm:pt modelId="{F0BD5000-1584-4E63-8441-F8620E3BBCB2}" type="pres">
      <dgm:prSet presAssocID="{8106C1FB-2EB3-4CCB-A285-B12E0B5CA849}" presName="root2" presStyleCnt="0"/>
      <dgm:spPr/>
    </dgm:pt>
    <dgm:pt modelId="{28D930D6-D1CC-4AEA-BF56-1A0057FC6818}" type="pres">
      <dgm:prSet presAssocID="{8106C1FB-2EB3-4CCB-A285-B12E0B5CA849}" presName="LevelTwoTextNode" presStyleLbl="node3" presStyleIdx="0" presStyleCnt="6" custScaleY="23143">
        <dgm:presLayoutVars>
          <dgm:chPref val="3"/>
        </dgm:presLayoutVars>
      </dgm:prSet>
      <dgm:spPr/>
    </dgm:pt>
    <dgm:pt modelId="{8772D3F7-1B00-4BDC-B731-E68C4E7FB48A}" type="pres">
      <dgm:prSet presAssocID="{8106C1FB-2EB3-4CCB-A285-B12E0B5CA849}" presName="level3hierChild" presStyleCnt="0"/>
      <dgm:spPr/>
    </dgm:pt>
    <dgm:pt modelId="{D465B9D5-76C5-460F-B75F-1EEBB1AEF4BD}" type="pres">
      <dgm:prSet presAssocID="{B92986B6-4AA0-48FB-9F3E-82E88DF002A6}" presName="conn2-1" presStyleLbl="parChTrans1D4" presStyleIdx="0" presStyleCnt="30"/>
      <dgm:spPr/>
    </dgm:pt>
    <dgm:pt modelId="{D2D958F5-3D1D-4FD2-856F-1CA136F431C3}" type="pres">
      <dgm:prSet presAssocID="{B92986B6-4AA0-48FB-9F3E-82E88DF002A6}" presName="connTx" presStyleLbl="parChTrans1D4" presStyleIdx="0" presStyleCnt="30"/>
      <dgm:spPr/>
    </dgm:pt>
    <dgm:pt modelId="{9F0763F0-8318-4528-BCA7-40D60D0985CE}" type="pres">
      <dgm:prSet presAssocID="{AE818FA7-66FE-453C-A51E-B9069AC414D3}" presName="root2" presStyleCnt="0"/>
      <dgm:spPr/>
    </dgm:pt>
    <dgm:pt modelId="{C33C51E7-9AC2-4AF1-AB1C-DF47A3951776}" type="pres">
      <dgm:prSet presAssocID="{AE818FA7-66FE-453C-A51E-B9069AC414D3}" presName="LevelTwoTextNode" presStyleLbl="node4" presStyleIdx="0" presStyleCnt="30">
        <dgm:presLayoutVars>
          <dgm:chPref val="3"/>
        </dgm:presLayoutVars>
      </dgm:prSet>
      <dgm:spPr/>
    </dgm:pt>
    <dgm:pt modelId="{E9EC60AE-EF84-4335-9362-585468196325}" type="pres">
      <dgm:prSet presAssocID="{AE818FA7-66FE-453C-A51E-B9069AC414D3}" presName="level3hierChild" presStyleCnt="0"/>
      <dgm:spPr/>
    </dgm:pt>
    <dgm:pt modelId="{7FFC39D3-0546-4338-A03D-3BEA5A9F48D1}" type="pres">
      <dgm:prSet presAssocID="{09AD0700-4407-4062-B022-6E592A0FA58A}" presName="conn2-1" presStyleLbl="parChTrans1D4" presStyleIdx="1" presStyleCnt="30"/>
      <dgm:spPr/>
    </dgm:pt>
    <dgm:pt modelId="{FA58F736-FE1E-4E5B-BA3D-4764D635592C}" type="pres">
      <dgm:prSet presAssocID="{09AD0700-4407-4062-B022-6E592A0FA58A}" presName="connTx" presStyleLbl="parChTrans1D4" presStyleIdx="1" presStyleCnt="30"/>
      <dgm:spPr/>
    </dgm:pt>
    <dgm:pt modelId="{8911811B-B779-4262-A26E-D5F3060F2669}" type="pres">
      <dgm:prSet presAssocID="{30FDD53A-8D16-491D-A15F-B745CF4D9439}" presName="root2" presStyleCnt="0"/>
      <dgm:spPr/>
    </dgm:pt>
    <dgm:pt modelId="{DEAE5233-53DC-48B0-9092-BF78F921775F}" type="pres">
      <dgm:prSet presAssocID="{30FDD53A-8D16-491D-A15F-B745CF4D9439}" presName="LevelTwoTextNode" presStyleLbl="node4" presStyleIdx="1" presStyleCnt="30">
        <dgm:presLayoutVars>
          <dgm:chPref val="3"/>
        </dgm:presLayoutVars>
      </dgm:prSet>
      <dgm:spPr/>
    </dgm:pt>
    <dgm:pt modelId="{A944389F-D35C-46DA-918C-76260E547621}" type="pres">
      <dgm:prSet presAssocID="{30FDD53A-8D16-491D-A15F-B745CF4D9439}" presName="level3hierChild" presStyleCnt="0"/>
      <dgm:spPr/>
    </dgm:pt>
    <dgm:pt modelId="{6C07057A-0993-4A4C-A1FC-7E3C90630CF5}" type="pres">
      <dgm:prSet presAssocID="{F6DE747A-5594-471C-A3D7-E3F9766A12FE}" presName="conn2-1" presStyleLbl="parChTrans1D4" presStyleIdx="2" presStyleCnt="30"/>
      <dgm:spPr/>
    </dgm:pt>
    <dgm:pt modelId="{38E862A5-037C-4588-B0D5-BEF2BB5800AE}" type="pres">
      <dgm:prSet presAssocID="{F6DE747A-5594-471C-A3D7-E3F9766A12FE}" presName="connTx" presStyleLbl="parChTrans1D4" presStyleIdx="2" presStyleCnt="30"/>
      <dgm:spPr/>
    </dgm:pt>
    <dgm:pt modelId="{4F98A28D-F4FB-4F68-BF21-E50A1AB85B4E}" type="pres">
      <dgm:prSet presAssocID="{EF17F899-03B0-4F10-90A9-5BB7B299C710}" presName="root2" presStyleCnt="0"/>
      <dgm:spPr/>
    </dgm:pt>
    <dgm:pt modelId="{BB0A11FC-F935-4893-9E1A-A94FFAC4AE10}" type="pres">
      <dgm:prSet presAssocID="{EF17F899-03B0-4F10-90A9-5BB7B299C710}" presName="LevelTwoTextNode" presStyleLbl="node4" presStyleIdx="2" presStyleCnt="30">
        <dgm:presLayoutVars>
          <dgm:chPref val="3"/>
        </dgm:presLayoutVars>
      </dgm:prSet>
      <dgm:spPr/>
    </dgm:pt>
    <dgm:pt modelId="{9C146043-3B3F-4DC2-A8E1-1ADA5BC92AC0}" type="pres">
      <dgm:prSet presAssocID="{EF17F899-03B0-4F10-90A9-5BB7B299C710}" presName="level3hierChild" presStyleCnt="0"/>
      <dgm:spPr/>
    </dgm:pt>
    <dgm:pt modelId="{79E0999D-89C1-4FE8-831F-E869D069138D}" type="pres">
      <dgm:prSet presAssocID="{C32ED9B4-3E78-4DDC-A863-96136C9CB613}" presName="conn2-1" presStyleLbl="parChTrans1D4" presStyleIdx="3" presStyleCnt="30"/>
      <dgm:spPr/>
    </dgm:pt>
    <dgm:pt modelId="{2E1AA09E-0795-4042-9716-8110855F08CD}" type="pres">
      <dgm:prSet presAssocID="{C32ED9B4-3E78-4DDC-A863-96136C9CB613}" presName="connTx" presStyleLbl="parChTrans1D4" presStyleIdx="3" presStyleCnt="30"/>
      <dgm:spPr/>
    </dgm:pt>
    <dgm:pt modelId="{E5F47605-5820-4B59-8890-5F69651204C9}" type="pres">
      <dgm:prSet presAssocID="{700FF247-B690-48A1-8F11-CE1F71494E69}" presName="root2" presStyleCnt="0"/>
      <dgm:spPr/>
    </dgm:pt>
    <dgm:pt modelId="{95C61D53-300C-4DE4-870C-DD6C24935C0C}" type="pres">
      <dgm:prSet presAssocID="{700FF247-B690-48A1-8F11-CE1F71494E69}" presName="LevelTwoTextNode" presStyleLbl="node4" presStyleIdx="3" presStyleCnt="30">
        <dgm:presLayoutVars>
          <dgm:chPref val="3"/>
        </dgm:presLayoutVars>
      </dgm:prSet>
      <dgm:spPr/>
    </dgm:pt>
    <dgm:pt modelId="{06D664A1-39A3-4862-83B0-3EAFBDF5B73F}" type="pres">
      <dgm:prSet presAssocID="{700FF247-B690-48A1-8F11-CE1F71494E69}" presName="level3hierChild" presStyleCnt="0"/>
      <dgm:spPr/>
    </dgm:pt>
    <dgm:pt modelId="{BB5AFC37-3889-42CA-8944-D3A53523793F}" type="pres">
      <dgm:prSet presAssocID="{CAB965D5-11D4-4D85-86E3-B48CE2FB52FB}" presName="conn2-1" presStyleLbl="parChTrans1D4" presStyleIdx="4" presStyleCnt="30"/>
      <dgm:spPr/>
    </dgm:pt>
    <dgm:pt modelId="{3B823CFA-19C5-4D97-A446-D53C1ED7110C}" type="pres">
      <dgm:prSet presAssocID="{CAB965D5-11D4-4D85-86E3-B48CE2FB52FB}" presName="connTx" presStyleLbl="parChTrans1D4" presStyleIdx="4" presStyleCnt="30"/>
      <dgm:spPr/>
    </dgm:pt>
    <dgm:pt modelId="{1F099DF4-C880-4EE5-8B5F-7D1039A787FB}" type="pres">
      <dgm:prSet presAssocID="{22B715A1-7759-4735-B789-02883D13EA1F}" presName="root2" presStyleCnt="0"/>
      <dgm:spPr/>
    </dgm:pt>
    <dgm:pt modelId="{158FC5B0-BD1E-485A-8B01-82528D1E9C2E}" type="pres">
      <dgm:prSet presAssocID="{22B715A1-7759-4735-B789-02883D13EA1F}" presName="LevelTwoTextNode" presStyleLbl="node4" presStyleIdx="4" presStyleCnt="30">
        <dgm:presLayoutVars>
          <dgm:chPref val="3"/>
        </dgm:presLayoutVars>
      </dgm:prSet>
      <dgm:spPr/>
    </dgm:pt>
    <dgm:pt modelId="{F0111608-D978-492C-8BBF-C108CDEE80D9}" type="pres">
      <dgm:prSet presAssocID="{22B715A1-7759-4735-B789-02883D13EA1F}" presName="level3hierChild" presStyleCnt="0"/>
      <dgm:spPr/>
    </dgm:pt>
    <dgm:pt modelId="{91D01C26-9709-41EC-A65C-3D106AAC4F07}" type="pres">
      <dgm:prSet presAssocID="{CAC5141E-4F38-4E3F-A32F-9ACC5D1AA74E}" presName="conn2-1" presStyleLbl="parChTrans1D2" presStyleIdx="1" presStyleCnt="3"/>
      <dgm:spPr/>
    </dgm:pt>
    <dgm:pt modelId="{CA62244B-2FF4-4E67-A35C-072FD368DE55}" type="pres">
      <dgm:prSet presAssocID="{CAC5141E-4F38-4E3F-A32F-9ACC5D1AA74E}" presName="connTx" presStyleLbl="parChTrans1D2" presStyleIdx="1" presStyleCnt="3"/>
      <dgm:spPr/>
    </dgm:pt>
    <dgm:pt modelId="{122107F8-298A-4364-822B-69D705973519}" type="pres">
      <dgm:prSet presAssocID="{78E3CBBC-25DC-408D-B1AC-8DC110FDDC99}" presName="root2" presStyleCnt="0"/>
      <dgm:spPr/>
    </dgm:pt>
    <dgm:pt modelId="{422A4A3A-F6EB-449A-8901-797127807065}" type="pres">
      <dgm:prSet presAssocID="{78E3CBBC-25DC-408D-B1AC-8DC110FDDC99}" presName="LevelTwoTextNode" presStyleLbl="node2" presStyleIdx="1" presStyleCnt="3">
        <dgm:presLayoutVars>
          <dgm:chPref val="3"/>
        </dgm:presLayoutVars>
      </dgm:prSet>
      <dgm:spPr/>
    </dgm:pt>
    <dgm:pt modelId="{60F7166B-6032-4503-86E1-B08904426178}" type="pres">
      <dgm:prSet presAssocID="{78E3CBBC-25DC-408D-B1AC-8DC110FDDC99}" presName="level3hierChild" presStyleCnt="0"/>
      <dgm:spPr/>
    </dgm:pt>
    <dgm:pt modelId="{BE7BB172-278F-4B9D-AD2A-54BA10798C46}" type="pres">
      <dgm:prSet presAssocID="{A8DD840D-CFB4-45B5-A276-7AFD7FF19C8F}" presName="conn2-1" presStyleLbl="parChTrans1D3" presStyleIdx="1" presStyleCnt="6"/>
      <dgm:spPr/>
    </dgm:pt>
    <dgm:pt modelId="{9B9A8B3B-C716-4EAA-95F2-651252168522}" type="pres">
      <dgm:prSet presAssocID="{A8DD840D-CFB4-45B5-A276-7AFD7FF19C8F}" presName="connTx" presStyleLbl="parChTrans1D3" presStyleIdx="1" presStyleCnt="6"/>
      <dgm:spPr/>
    </dgm:pt>
    <dgm:pt modelId="{58A52F41-0822-4AD7-8973-F3E6914FAC60}" type="pres">
      <dgm:prSet presAssocID="{ADD2637B-8031-41B7-AE54-5A859BE41CB1}" presName="root2" presStyleCnt="0"/>
      <dgm:spPr/>
    </dgm:pt>
    <dgm:pt modelId="{0D28B1C1-D54B-4DB5-9F81-53E245C42E6F}" type="pres">
      <dgm:prSet presAssocID="{ADD2637B-8031-41B7-AE54-5A859BE41CB1}" presName="LevelTwoTextNode" presStyleLbl="node3" presStyleIdx="1" presStyleCnt="6">
        <dgm:presLayoutVars>
          <dgm:chPref val="3"/>
        </dgm:presLayoutVars>
      </dgm:prSet>
      <dgm:spPr/>
    </dgm:pt>
    <dgm:pt modelId="{149B8014-483B-4B26-B150-288B57AF969B}" type="pres">
      <dgm:prSet presAssocID="{ADD2637B-8031-41B7-AE54-5A859BE41CB1}" presName="level3hierChild" presStyleCnt="0"/>
      <dgm:spPr/>
    </dgm:pt>
    <dgm:pt modelId="{C880F6F0-42D8-4F70-8552-49AAF1D51B85}" type="pres">
      <dgm:prSet presAssocID="{5BBE2C78-9BEC-40B0-BB89-CF6F2F4F2ECA}" presName="conn2-1" presStyleLbl="parChTrans1D4" presStyleIdx="5" presStyleCnt="30"/>
      <dgm:spPr/>
    </dgm:pt>
    <dgm:pt modelId="{404790F7-88F4-4F67-95C3-B1053C19D084}" type="pres">
      <dgm:prSet presAssocID="{5BBE2C78-9BEC-40B0-BB89-CF6F2F4F2ECA}" presName="connTx" presStyleLbl="parChTrans1D4" presStyleIdx="5" presStyleCnt="30"/>
      <dgm:spPr/>
    </dgm:pt>
    <dgm:pt modelId="{4B284A8A-BCC9-4EF6-974A-232D0B97CF71}" type="pres">
      <dgm:prSet presAssocID="{C96C0738-5760-48E4-A845-9BD012F2AC7D}" presName="root2" presStyleCnt="0"/>
      <dgm:spPr/>
    </dgm:pt>
    <dgm:pt modelId="{FDF57252-0485-4E94-9518-819B97E653A5}" type="pres">
      <dgm:prSet presAssocID="{C96C0738-5760-48E4-A845-9BD012F2AC7D}" presName="LevelTwoTextNode" presStyleLbl="node4" presStyleIdx="5" presStyleCnt="30">
        <dgm:presLayoutVars>
          <dgm:chPref val="3"/>
        </dgm:presLayoutVars>
      </dgm:prSet>
      <dgm:spPr/>
    </dgm:pt>
    <dgm:pt modelId="{9011B6DD-AE68-4961-942C-A665733F7BF4}" type="pres">
      <dgm:prSet presAssocID="{C96C0738-5760-48E4-A845-9BD012F2AC7D}" presName="level3hierChild" presStyleCnt="0"/>
      <dgm:spPr/>
    </dgm:pt>
    <dgm:pt modelId="{C798FBDF-6E1D-47DE-AFF4-FF2F3558A01E}" type="pres">
      <dgm:prSet presAssocID="{81EABEA9-DABF-434E-B793-BEEABE2D7523}" presName="conn2-1" presStyleLbl="parChTrans1D4" presStyleIdx="6" presStyleCnt="30"/>
      <dgm:spPr/>
    </dgm:pt>
    <dgm:pt modelId="{2DF28BDD-B675-4005-8498-647C08CCD132}" type="pres">
      <dgm:prSet presAssocID="{81EABEA9-DABF-434E-B793-BEEABE2D7523}" presName="connTx" presStyleLbl="parChTrans1D4" presStyleIdx="6" presStyleCnt="30"/>
      <dgm:spPr/>
    </dgm:pt>
    <dgm:pt modelId="{B70AEDE7-A245-44A6-9D01-C54184B2E71D}" type="pres">
      <dgm:prSet presAssocID="{0D025768-1A3D-4077-8E72-5D9A8F021D4F}" presName="root2" presStyleCnt="0"/>
      <dgm:spPr/>
    </dgm:pt>
    <dgm:pt modelId="{299DB7B5-147A-4B56-BD71-258F2E319699}" type="pres">
      <dgm:prSet presAssocID="{0D025768-1A3D-4077-8E72-5D9A8F021D4F}" presName="LevelTwoTextNode" presStyleLbl="node4" presStyleIdx="6" presStyleCnt="30">
        <dgm:presLayoutVars>
          <dgm:chPref val="3"/>
        </dgm:presLayoutVars>
      </dgm:prSet>
      <dgm:spPr/>
    </dgm:pt>
    <dgm:pt modelId="{A6415648-83F9-460D-968B-A80259EE7D7F}" type="pres">
      <dgm:prSet presAssocID="{0D025768-1A3D-4077-8E72-5D9A8F021D4F}" presName="level3hierChild" presStyleCnt="0"/>
      <dgm:spPr/>
    </dgm:pt>
    <dgm:pt modelId="{2885D908-1890-4DF2-AA56-5F58E916BA5F}" type="pres">
      <dgm:prSet presAssocID="{77557A6E-E1E3-401F-A22D-8636B99DD043}" presName="conn2-1" presStyleLbl="parChTrans1D4" presStyleIdx="7" presStyleCnt="30"/>
      <dgm:spPr/>
    </dgm:pt>
    <dgm:pt modelId="{070ECFA4-C9A0-492B-9956-2ED19810F290}" type="pres">
      <dgm:prSet presAssocID="{77557A6E-E1E3-401F-A22D-8636B99DD043}" presName="connTx" presStyleLbl="parChTrans1D4" presStyleIdx="7" presStyleCnt="30"/>
      <dgm:spPr/>
    </dgm:pt>
    <dgm:pt modelId="{CEDBBF8C-C319-450C-86FA-C705F6200DA0}" type="pres">
      <dgm:prSet presAssocID="{5F483117-7082-408B-A172-BBD6D8A0D3B6}" presName="root2" presStyleCnt="0"/>
      <dgm:spPr/>
    </dgm:pt>
    <dgm:pt modelId="{75C27B92-6CC4-4B40-95A9-71E9F09AC553}" type="pres">
      <dgm:prSet presAssocID="{5F483117-7082-408B-A172-BBD6D8A0D3B6}" presName="LevelTwoTextNode" presStyleLbl="node4" presStyleIdx="7" presStyleCnt="30">
        <dgm:presLayoutVars>
          <dgm:chPref val="3"/>
        </dgm:presLayoutVars>
      </dgm:prSet>
      <dgm:spPr/>
    </dgm:pt>
    <dgm:pt modelId="{F7FF4A6D-B6DA-40F7-B1FD-4F1C0579AEB3}" type="pres">
      <dgm:prSet presAssocID="{5F483117-7082-408B-A172-BBD6D8A0D3B6}" presName="level3hierChild" presStyleCnt="0"/>
      <dgm:spPr/>
    </dgm:pt>
    <dgm:pt modelId="{8FCFA1DF-8D7B-4AE3-A13D-E9E0A8D4269E}" type="pres">
      <dgm:prSet presAssocID="{20F19BCA-33B1-4338-92E7-865F0CEE3F87}" presName="conn2-1" presStyleLbl="parChTrans1D4" presStyleIdx="8" presStyleCnt="30"/>
      <dgm:spPr/>
    </dgm:pt>
    <dgm:pt modelId="{FA44B7C6-7A53-48D1-A800-6F77A46D1280}" type="pres">
      <dgm:prSet presAssocID="{20F19BCA-33B1-4338-92E7-865F0CEE3F87}" presName="connTx" presStyleLbl="parChTrans1D4" presStyleIdx="8" presStyleCnt="30"/>
      <dgm:spPr/>
    </dgm:pt>
    <dgm:pt modelId="{14C42A29-9D91-40F7-B6AD-3C4F84687301}" type="pres">
      <dgm:prSet presAssocID="{E541BC02-B744-4520-9520-42E8BFB3C178}" presName="root2" presStyleCnt="0"/>
      <dgm:spPr/>
    </dgm:pt>
    <dgm:pt modelId="{B52201AD-DF5C-4637-95C6-49BD23B1F50B}" type="pres">
      <dgm:prSet presAssocID="{E541BC02-B744-4520-9520-42E8BFB3C178}" presName="LevelTwoTextNode" presStyleLbl="node4" presStyleIdx="8" presStyleCnt="30">
        <dgm:presLayoutVars>
          <dgm:chPref val="3"/>
        </dgm:presLayoutVars>
      </dgm:prSet>
      <dgm:spPr/>
    </dgm:pt>
    <dgm:pt modelId="{155AD761-DB1C-4B0B-9AD8-F41E6419EE83}" type="pres">
      <dgm:prSet presAssocID="{E541BC02-B744-4520-9520-42E8BFB3C178}" presName="level3hierChild" presStyleCnt="0"/>
      <dgm:spPr/>
    </dgm:pt>
    <dgm:pt modelId="{CB3877FC-91B8-4FC2-9D6B-E11F9D0115BE}" type="pres">
      <dgm:prSet presAssocID="{FCF8BD5F-24C7-4080-9F53-F57A45CB0DDE}" presName="conn2-1" presStyleLbl="parChTrans1D4" presStyleIdx="9" presStyleCnt="30"/>
      <dgm:spPr/>
    </dgm:pt>
    <dgm:pt modelId="{D350F211-560B-4623-A313-94CD6AC07C64}" type="pres">
      <dgm:prSet presAssocID="{FCF8BD5F-24C7-4080-9F53-F57A45CB0DDE}" presName="connTx" presStyleLbl="parChTrans1D4" presStyleIdx="9" presStyleCnt="30"/>
      <dgm:spPr/>
    </dgm:pt>
    <dgm:pt modelId="{749A4590-F99F-4960-B2D9-264D967A316D}" type="pres">
      <dgm:prSet presAssocID="{4D222076-3CE8-40D1-A8BA-FE892BB40D65}" presName="root2" presStyleCnt="0"/>
      <dgm:spPr/>
    </dgm:pt>
    <dgm:pt modelId="{A844538E-617C-47D5-90B1-EC4C304BD896}" type="pres">
      <dgm:prSet presAssocID="{4D222076-3CE8-40D1-A8BA-FE892BB40D65}" presName="LevelTwoTextNode" presStyleLbl="node4" presStyleIdx="9" presStyleCnt="30">
        <dgm:presLayoutVars>
          <dgm:chPref val="3"/>
        </dgm:presLayoutVars>
      </dgm:prSet>
      <dgm:spPr/>
    </dgm:pt>
    <dgm:pt modelId="{1CA09CDE-B468-4E25-9189-843F8C85A8C1}" type="pres">
      <dgm:prSet presAssocID="{4D222076-3CE8-40D1-A8BA-FE892BB40D65}" presName="level3hierChild" presStyleCnt="0"/>
      <dgm:spPr/>
    </dgm:pt>
    <dgm:pt modelId="{1DBCEC87-5760-4266-8E86-CC6FC7973A3C}" type="pres">
      <dgm:prSet presAssocID="{BFE18D0B-7C5E-4160-95D0-B65118D6A6FF}" presName="conn2-1" presStyleLbl="parChTrans1D3" presStyleIdx="2" presStyleCnt="6"/>
      <dgm:spPr/>
    </dgm:pt>
    <dgm:pt modelId="{0AE6B2AC-C2C5-46AA-B3AA-D03601EE18E1}" type="pres">
      <dgm:prSet presAssocID="{BFE18D0B-7C5E-4160-95D0-B65118D6A6FF}" presName="connTx" presStyleLbl="parChTrans1D3" presStyleIdx="2" presStyleCnt="6"/>
      <dgm:spPr/>
    </dgm:pt>
    <dgm:pt modelId="{A02A6634-FB14-418E-9484-A6383E894A26}" type="pres">
      <dgm:prSet presAssocID="{D324B81B-FE4A-41CC-901E-876762FC7533}" presName="root2" presStyleCnt="0"/>
      <dgm:spPr/>
    </dgm:pt>
    <dgm:pt modelId="{B0BF95EF-E3AD-447A-B62C-646AC58C325F}" type="pres">
      <dgm:prSet presAssocID="{D324B81B-FE4A-41CC-901E-876762FC7533}" presName="LevelTwoTextNode" presStyleLbl="node3" presStyleIdx="2" presStyleCnt="6">
        <dgm:presLayoutVars>
          <dgm:chPref val="3"/>
        </dgm:presLayoutVars>
      </dgm:prSet>
      <dgm:spPr/>
    </dgm:pt>
    <dgm:pt modelId="{A3777D26-8293-4E92-9447-4D8A2675D939}" type="pres">
      <dgm:prSet presAssocID="{D324B81B-FE4A-41CC-901E-876762FC7533}" presName="level3hierChild" presStyleCnt="0"/>
      <dgm:spPr/>
    </dgm:pt>
    <dgm:pt modelId="{92354185-DBCA-4A21-84F8-224DFD5AB4AF}" type="pres">
      <dgm:prSet presAssocID="{368C4A4E-9843-4B9F-8EA5-4A0D288025CA}" presName="conn2-1" presStyleLbl="parChTrans1D4" presStyleIdx="10" presStyleCnt="30"/>
      <dgm:spPr/>
    </dgm:pt>
    <dgm:pt modelId="{0B17F0EF-629B-4DBD-84BD-00B41E6F1813}" type="pres">
      <dgm:prSet presAssocID="{368C4A4E-9843-4B9F-8EA5-4A0D288025CA}" presName="connTx" presStyleLbl="parChTrans1D4" presStyleIdx="10" presStyleCnt="30"/>
      <dgm:spPr/>
    </dgm:pt>
    <dgm:pt modelId="{6E92E842-7384-4869-A798-2E7F30959C39}" type="pres">
      <dgm:prSet presAssocID="{14C24CF8-D01E-4C09-B727-0E0964F3B4F6}" presName="root2" presStyleCnt="0"/>
      <dgm:spPr/>
    </dgm:pt>
    <dgm:pt modelId="{7E949926-E243-4CA5-864B-20D791018212}" type="pres">
      <dgm:prSet presAssocID="{14C24CF8-D01E-4C09-B727-0E0964F3B4F6}" presName="LevelTwoTextNode" presStyleLbl="node4" presStyleIdx="10" presStyleCnt="30">
        <dgm:presLayoutVars>
          <dgm:chPref val="3"/>
        </dgm:presLayoutVars>
      </dgm:prSet>
      <dgm:spPr/>
    </dgm:pt>
    <dgm:pt modelId="{BAF67175-4D3A-46B6-8445-74C14725DEB8}" type="pres">
      <dgm:prSet presAssocID="{14C24CF8-D01E-4C09-B727-0E0964F3B4F6}" presName="level3hierChild" presStyleCnt="0"/>
      <dgm:spPr/>
    </dgm:pt>
    <dgm:pt modelId="{5B8BE731-C7C1-49D4-BB62-68D307B5CEEF}" type="pres">
      <dgm:prSet presAssocID="{7A0B60A3-D761-4EFD-96BB-E14801E35819}" presName="conn2-1" presStyleLbl="parChTrans1D4" presStyleIdx="11" presStyleCnt="30"/>
      <dgm:spPr/>
    </dgm:pt>
    <dgm:pt modelId="{31355AB0-A5F0-43E2-B52D-E885F45D3B98}" type="pres">
      <dgm:prSet presAssocID="{7A0B60A3-D761-4EFD-96BB-E14801E35819}" presName="connTx" presStyleLbl="parChTrans1D4" presStyleIdx="11" presStyleCnt="30"/>
      <dgm:spPr/>
    </dgm:pt>
    <dgm:pt modelId="{8FAFE8C7-BEA6-4C18-825C-DDFF077BFE1A}" type="pres">
      <dgm:prSet presAssocID="{32DA57A2-2FE9-46BB-A8E5-4E17455AA026}" presName="root2" presStyleCnt="0"/>
      <dgm:spPr/>
    </dgm:pt>
    <dgm:pt modelId="{44DCE07A-E41F-4B9A-9AFD-AF1F7CCED65A}" type="pres">
      <dgm:prSet presAssocID="{32DA57A2-2FE9-46BB-A8E5-4E17455AA026}" presName="LevelTwoTextNode" presStyleLbl="node4" presStyleIdx="11" presStyleCnt="30">
        <dgm:presLayoutVars>
          <dgm:chPref val="3"/>
        </dgm:presLayoutVars>
      </dgm:prSet>
      <dgm:spPr/>
    </dgm:pt>
    <dgm:pt modelId="{1D8FE56E-BBFC-4297-804A-66AE6CF5D9C3}" type="pres">
      <dgm:prSet presAssocID="{32DA57A2-2FE9-46BB-A8E5-4E17455AA026}" presName="level3hierChild" presStyleCnt="0"/>
      <dgm:spPr/>
    </dgm:pt>
    <dgm:pt modelId="{D935D560-7774-4779-8BD2-13BFC1D3BACF}" type="pres">
      <dgm:prSet presAssocID="{94F96DEC-6E2B-456C-A551-2A26B53E8A43}" presName="conn2-1" presStyleLbl="parChTrans1D4" presStyleIdx="12" presStyleCnt="30"/>
      <dgm:spPr/>
    </dgm:pt>
    <dgm:pt modelId="{1779911C-962E-4AD6-BB14-20D103EF2E6B}" type="pres">
      <dgm:prSet presAssocID="{94F96DEC-6E2B-456C-A551-2A26B53E8A43}" presName="connTx" presStyleLbl="parChTrans1D4" presStyleIdx="12" presStyleCnt="30"/>
      <dgm:spPr/>
    </dgm:pt>
    <dgm:pt modelId="{F3F83855-77D7-4E60-B9A9-D567FF2E5290}" type="pres">
      <dgm:prSet presAssocID="{46EC3575-2C61-4F94-94CB-9246DD8E0DF6}" presName="root2" presStyleCnt="0"/>
      <dgm:spPr/>
    </dgm:pt>
    <dgm:pt modelId="{98A33CD7-77E9-4331-856C-70FB910FFA5F}" type="pres">
      <dgm:prSet presAssocID="{46EC3575-2C61-4F94-94CB-9246DD8E0DF6}" presName="LevelTwoTextNode" presStyleLbl="node4" presStyleIdx="12" presStyleCnt="30">
        <dgm:presLayoutVars>
          <dgm:chPref val="3"/>
        </dgm:presLayoutVars>
      </dgm:prSet>
      <dgm:spPr/>
    </dgm:pt>
    <dgm:pt modelId="{776F3BAF-ACB3-455E-B112-CD5CB5637A9A}" type="pres">
      <dgm:prSet presAssocID="{46EC3575-2C61-4F94-94CB-9246DD8E0DF6}" presName="level3hierChild" presStyleCnt="0"/>
      <dgm:spPr/>
    </dgm:pt>
    <dgm:pt modelId="{2F1E8219-B659-41F3-AE9B-2584FF7876EF}" type="pres">
      <dgm:prSet presAssocID="{28C9985C-DA3C-4393-BC4C-8A33A9073F70}" presName="conn2-1" presStyleLbl="parChTrans1D4" presStyleIdx="13" presStyleCnt="30"/>
      <dgm:spPr/>
    </dgm:pt>
    <dgm:pt modelId="{16E5B41E-C7D6-4189-830D-DBCFC9121696}" type="pres">
      <dgm:prSet presAssocID="{28C9985C-DA3C-4393-BC4C-8A33A9073F70}" presName="connTx" presStyleLbl="parChTrans1D4" presStyleIdx="13" presStyleCnt="30"/>
      <dgm:spPr/>
    </dgm:pt>
    <dgm:pt modelId="{5E4991A9-6931-406A-B6B3-1294767AE474}" type="pres">
      <dgm:prSet presAssocID="{5AC49862-522C-4072-A2EA-F8B0338631E2}" presName="root2" presStyleCnt="0"/>
      <dgm:spPr/>
    </dgm:pt>
    <dgm:pt modelId="{0C4019F4-33C5-40BC-8599-8F1DAB8B9326}" type="pres">
      <dgm:prSet presAssocID="{5AC49862-522C-4072-A2EA-F8B0338631E2}" presName="LevelTwoTextNode" presStyleLbl="node4" presStyleIdx="13" presStyleCnt="30">
        <dgm:presLayoutVars>
          <dgm:chPref val="3"/>
        </dgm:presLayoutVars>
      </dgm:prSet>
      <dgm:spPr/>
    </dgm:pt>
    <dgm:pt modelId="{FDCA7BF7-38C3-48FB-9597-C92C59428087}" type="pres">
      <dgm:prSet presAssocID="{5AC49862-522C-4072-A2EA-F8B0338631E2}" presName="level3hierChild" presStyleCnt="0"/>
      <dgm:spPr/>
    </dgm:pt>
    <dgm:pt modelId="{70818E4E-65CA-4391-A769-C16EF8DF3D1E}" type="pres">
      <dgm:prSet presAssocID="{36253B9C-E56B-4137-B7C7-2F44E4835167}" presName="conn2-1" presStyleLbl="parChTrans1D4" presStyleIdx="14" presStyleCnt="30"/>
      <dgm:spPr/>
    </dgm:pt>
    <dgm:pt modelId="{36323F35-1F4F-46D4-88CA-84E50C329136}" type="pres">
      <dgm:prSet presAssocID="{36253B9C-E56B-4137-B7C7-2F44E4835167}" presName="connTx" presStyleLbl="parChTrans1D4" presStyleIdx="14" presStyleCnt="30"/>
      <dgm:spPr/>
    </dgm:pt>
    <dgm:pt modelId="{51680600-E90D-4096-A35E-D3C71AB8E226}" type="pres">
      <dgm:prSet presAssocID="{369CBC4C-9F54-4403-B0CB-47F11AD6A209}" presName="root2" presStyleCnt="0"/>
      <dgm:spPr/>
    </dgm:pt>
    <dgm:pt modelId="{3CC85C9C-3AD6-42D8-8BB3-F6239BEC3592}" type="pres">
      <dgm:prSet presAssocID="{369CBC4C-9F54-4403-B0CB-47F11AD6A209}" presName="LevelTwoTextNode" presStyleLbl="node4" presStyleIdx="14" presStyleCnt="30">
        <dgm:presLayoutVars>
          <dgm:chPref val="3"/>
        </dgm:presLayoutVars>
      </dgm:prSet>
      <dgm:spPr/>
    </dgm:pt>
    <dgm:pt modelId="{B85BCD4B-9498-46FD-8251-A95BA93AEB9B}" type="pres">
      <dgm:prSet presAssocID="{369CBC4C-9F54-4403-B0CB-47F11AD6A209}" presName="level3hierChild" presStyleCnt="0"/>
      <dgm:spPr/>
    </dgm:pt>
    <dgm:pt modelId="{4D5AB6F6-FFAC-458C-B555-327068430A50}" type="pres">
      <dgm:prSet presAssocID="{73B82507-9FA1-4CF3-B951-408B81A46887}" presName="conn2-1" presStyleLbl="parChTrans1D3" presStyleIdx="3" presStyleCnt="6"/>
      <dgm:spPr/>
    </dgm:pt>
    <dgm:pt modelId="{E33B4A0B-D312-48ED-BF2B-003EC52272A1}" type="pres">
      <dgm:prSet presAssocID="{73B82507-9FA1-4CF3-B951-408B81A46887}" presName="connTx" presStyleLbl="parChTrans1D3" presStyleIdx="3" presStyleCnt="6"/>
      <dgm:spPr/>
    </dgm:pt>
    <dgm:pt modelId="{1FFAC029-6EAF-42E5-B636-5591BDA45C45}" type="pres">
      <dgm:prSet presAssocID="{9F8524B7-42DF-4BE1-B47C-FF48D482776F}" presName="root2" presStyleCnt="0"/>
      <dgm:spPr/>
    </dgm:pt>
    <dgm:pt modelId="{761806C1-4E14-4F20-8E3F-BE484331CAC1}" type="pres">
      <dgm:prSet presAssocID="{9F8524B7-42DF-4BE1-B47C-FF48D482776F}" presName="LevelTwoTextNode" presStyleLbl="node3" presStyleIdx="3" presStyleCnt="6">
        <dgm:presLayoutVars>
          <dgm:chPref val="3"/>
        </dgm:presLayoutVars>
      </dgm:prSet>
      <dgm:spPr/>
    </dgm:pt>
    <dgm:pt modelId="{44E66F27-4073-464E-9556-8AD5CF167CDD}" type="pres">
      <dgm:prSet presAssocID="{9F8524B7-42DF-4BE1-B47C-FF48D482776F}" presName="level3hierChild" presStyleCnt="0"/>
      <dgm:spPr/>
    </dgm:pt>
    <dgm:pt modelId="{C80259AB-F3D9-4E2B-A527-B7387593D480}" type="pres">
      <dgm:prSet presAssocID="{092AAFCB-9CC7-4300-8288-19F776192689}" presName="conn2-1" presStyleLbl="parChTrans1D4" presStyleIdx="15" presStyleCnt="30"/>
      <dgm:spPr/>
    </dgm:pt>
    <dgm:pt modelId="{C83D046E-BFC0-4156-9ABF-8C1A4EE346B8}" type="pres">
      <dgm:prSet presAssocID="{092AAFCB-9CC7-4300-8288-19F776192689}" presName="connTx" presStyleLbl="parChTrans1D4" presStyleIdx="15" presStyleCnt="30"/>
      <dgm:spPr/>
    </dgm:pt>
    <dgm:pt modelId="{DB698CD3-2C38-4158-A8C8-63CA90607494}" type="pres">
      <dgm:prSet presAssocID="{78368200-05F7-4E40-8A38-55CC74C00BFC}" presName="root2" presStyleCnt="0"/>
      <dgm:spPr/>
    </dgm:pt>
    <dgm:pt modelId="{FA7E10B4-455E-40D8-9094-7701C2446506}" type="pres">
      <dgm:prSet presAssocID="{78368200-05F7-4E40-8A38-55CC74C00BFC}" presName="LevelTwoTextNode" presStyleLbl="node4" presStyleIdx="15" presStyleCnt="30">
        <dgm:presLayoutVars>
          <dgm:chPref val="3"/>
        </dgm:presLayoutVars>
      </dgm:prSet>
      <dgm:spPr/>
    </dgm:pt>
    <dgm:pt modelId="{10B4B790-BB75-49E1-B6C7-C1DB758D193D}" type="pres">
      <dgm:prSet presAssocID="{78368200-05F7-4E40-8A38-55CC74C00BFC}" presName="level3hierChild" presStyleCnt="0"/>
      <dgm:spPr/>
    </dgm:pt>
    <dgm:pt modelId="{AD510A24-47D6-4085-A1F6-3DD4D3724B2A}" type="pres">
      <dgm:prSet presAssocID="{65132BBA-6634-4763-9A4C-927007D68174}" presName="conn2-1" presStyleLbl="parChTrans1D4" presStyleIdx="16" presStyleCnt="30"/>
      <dgm:spPr/>
    </dgm:pt>
    <dgm:pt modelId="{2D438221-B6BC-494F-B6B9-267AB2380C1E}" type="pres">
      <dgm:prSet presAssocID="{65132BBA-6634-4763-9A4C-927007D68174}" presName="connTx" presStyleLbl="parChTrans1D4" presStyleIdx="16" presStyleCnt="30"/>
      <dgm:spPr/>
    </dgm:pt>
    <dgm:pt modelId="{3886FF7E-A777-45F0-A1C5-EE791ED02F93}" type="pres">
      <dgm:prSet presAssocID="{EF59DEBA-3D6F-4B91-A318-9B2AAF29B070}" presName="root2" presStyleCnt="0"/>
      <dgm:spPr/>
    </dgm:pt>
    <dgm:pt modelId="{F87CEE2C-13F7-47DD-A4A5-8DD2DBA4CAB0}" type="pres">
      <dgm:prSet presAssocID="{EF59DEBA-3D6F-4B91-A318-9B2AAF29B070}" presName="LevelTwoTextNode" presStyleLbl="node4" presStyleIdx="16" presStyleCnt="30">
        <dgm:presLayoutVars>
          <dgm:chPref val="3"/>
        </dgm:presLayoutVars>
      </dgm:prSet>
      <dgm:spPr/>
    </dgm:pt>
    <dgm:pt modelId="{9D6FC076-6C7E-48B9-A4AC-F339D9FE5B67}" type="pres">
      <dgm:prSet presAssocID="{EF59DEBA-3D6F-4B91-A318-9B2AAF29B070}" presName="level3hierChild" presStyleCnt="0"/>
      <dgm:spPr/>
    </dgm:pt>
    <dgm:pt modelId="{33D7B50A-568A-404F-AF6B-F637E120BDDA}" type="pres">
      <dgm:prSet presAssocID="{B9FD5E08-0694-4032-B46A-65ABDB900A6B}" presName="conn2-1" presStyleLbl="parChTrans1D4" presStyleIdx="17" presStyleCnt="30"/>
      <dgm:spPr/>
    </dgm:pt>
    <dgm:pt modelId="{297F8706-E109-49E4-B0DC-472D81B891BD}" type="pres">
      <dgm:prSet presAssocID="{B9FD5E08-0694-4032-B46A-65ABDB900A6B}" presName="connTx" presStyleLbl="parChTrans1D4" presStyleIdx="17" presStyleCnt="30"/>
      <dgm:spPr/>
    </dgm:pt>
    <dgm:pt modelId="{6869B279-ADB2-4921-B26F-F66F0985406C}" type="pres">
      <dgm:prSet presAssocID="{DFA1E77A-9E29-4A5A-A936-2662EFE2F365}" presName="root2" presStyleCnt="0"/>
      <dgm:spPr/>
    </dgm:pt>
    <dgm:pt modelId="{3C1BBCC7-E79E-4814-8297-5BB246104496}" type="pres">
      <dgm:prSet presAssocID="{DFA1E77A-9E29-4A5A-A936-2662EFE2F365}" presName="LevelTwoTextNode" presStyleLbl="node4" presStyleIdx="17" presStyleCnt="30">
        <dgm:presLayoutVars>
          <dgm:chPref val="3"/>
        </dgm:presLayoutVars>
      </dgm:prSet>
      <dgm:spPr/>
    </dgm:pt>
    <dgm:pt modelId="{77224217-C7D6-4D15-839A-F29E556B2787}" type="pres">
      <dgm:prSet presAssocID="{DFA1E77A-9E29-4A5A-A936-2662EFE2F365}" presName="level3hierChild" presStyleCnt="0"/>
      <dgm:spPr/>
    </dgm:pt>
    <dgm:pt modelId="{121D9905-B3A4-436E-A1D5-F457DC0FB490}" type="pres">
      <dgm:prSet presAssocID="{2E6245A3-0459-47A9-A034-1F5E86079A67}" presName="conn2-1" presStyleLbl="parChTrans1D4" presStyleIdx="18" presStyleCnt="30"/>
      <dgm:spPr/>
    </dgm:pt>
    <dgm:pt modelId="{ED5C4E3A-798B-452D-AA38-E6CB3F6C2A8A}" type="pres">
      <dgm:prSet presAssocID="{2E6245A3-0459-47A9-A034-1F5E86079A67}" presName="connTx" presStyleLbl="parChTrans1D4" presStyleIdx="18" presStyleCnt="30"/>
      <dgm:spPr/>
    </dgm:pt>
    <dgm:pt modelId="{67F82F3F-DB13-4C5E-B0A7-FD4897E95BA1}" type="pres">
      <dgm:prSet presAssocID="{69514321-14FF-45DB-85E6-7557B241902E}" presName="root2" presStyleCnt="0"/>
      <dgm:spPr/>
    </dgm:pt>
    <dgm:pt modelId="{004785DF-F189-4494-91D0-C897BF691894}" type="pres">
      <dgm:prSet presAssocID="{69514321-14FF-45DB-85E6-7557B241902E}" presName="LevelTwoTextNode" presStyleLbl="node4" presStyleIdx="18" presStyleCnt="30">
        <dgm:presLayoutVars>
          <dgm:chPref val="3"/>
        </dgm:presLayoutVars>
      </dgm:prSet>
      <dgm:spPr/>
    </dgm:pt>
    <dgm:pt modelId="{0A13714B-B4B5-43F5-89C7-BE1F9A65E539}" type="pres">
      <dgm:prSet presAssocID="{69514321-14FF-45DB-85E6-7557B241902E}" presName="level3hierChild" presStyleCnt="0"/>
      <dgm:spPr/>
    </dgm:pt>
    <dgm:pt modelId="{9E92B4C6-4361-4131-86BB-BDACFCA82FA4}" type="pres">
      <dgm:prSet presAssocID="{F813F40D-B438-4529-9CC3-1C537F085921}" presName="conn2-1" presStyleLbl="parChTrans1D4" presStyleIdx="19" presStyleCnt="30"/>
      <dgm:spPr/>
    </dgm:pt>
    <dgm:pt modelId="{E39340D0-33D6-4FEE-A628-BCB11ECA24D7}" type="pres">
      <dgm:prSet presAssocID="{F813F40D-B438-4529-9CC3-1C537F085921}" presName="connTx" presStyleLbl="parChTrans1D4" presStyleIdx="19" presStyleCnt="30"/>
      <dgm:spPr/>
    </dgm:pt>
    <dgm:pt modelId="{03A4BAC4-8D83-4BD6-98B9-8BC9F9102B92}" type="pres">
      <dgm:prSet presAssocID="{A0D3F31F-6EA4-4543-A7CD-950F3FD69CB5}" presName="root2" presStyleCnt="0"/>
      <dgm:spPr/>
    </dgm:pt>
    <dgm:pt modelId="{EA1EA348-E697-47A0-BB9C-C79C60FA0661}" type="pres">
      <dgm:prSet presAssocID="{A0D3F31F-6EA4-4543-A7CD-950F3FD69CB5}" presName="LevelTwoTextNode" presStyleLbl="node4" presStyleIdx="19" presStyleCnt="30">
        <dgm:presLayoutVars>
          <dgm:chPref val="3"/>
        </dgm:presLayoutVars>
      </dgm:prSet>
      <dgm:spPr/>
    </dgm:pt>
    <dgm:pt modelId="{54AC8B29-3C7A-4A9A-A2C6-FE097D4D3334}" type="pres">
      <dgm:prSet presAssocID="{A0D3F31F-6EA4-4543-A7CD-950F3FD69CB5}" presName="level3hierChild" presStyleCnt="0"/>
      <dgm:spPr/>
    </dgm:pt>
    <dgm:pt modelId="{0A574E65-26AD-4153-ACFA-B6508D80ED8C}" type="pres">
      <dgm:prSet presAssocID="{59FE62FA-3E7F-4877-B952-923D1702E699}" presName="conn2-1" presStyleLbl="parChTrans1D2" presStyleIdx="2" presStyleCnt="3"/>
      <dgm:spPr/>
    </dgm:pt>
    <dgm:pt modelId="{DF5748A7-7A00-4FBE-A8FC-176979B7C0A1}" type="pres">
      <dgm:prSet presAssocID="{59FE62FA-3E7F-4877-B952-923D1702E699}" presName="connTx" presStyleLbl="parChTrans1D2" presStyleIdx="2" presStyleCnt="3"/>
      <dgm:spPr/>
    </dgm:pt>
    <dgm:pt modelId="{562B9796-1AA1-439A-B4E0-9FDC10B25D4F}" type="pres">
      <dgm:prSet presAssocID="{00425D1D-DB49-4F01-B129-F38BFEA9F5A9}" presName="root2" presStyleCnt="0"/>
      <dgm:spPr/>
    </dgm:pt>
    <dgm:pt modelId="{3FF46F38-73CF-4DBB-B22D-5757F5DF1549}" type="pres">
      <dgm:prSet presAssocID="{00425D1D-DB49-4F01-B129-F38BFEA9F5A9}" presName="LevelTwoTextNode" presStyleLbl="node2" presStyleIdx="2" presStyleCnt="3">
        <dgm:presLayoutVars>
          <dgm:chPref val="3"/>
        </dgm:presLayoutVars>
      </dgm:prSet>
      <dgm:spPr/>
    </dgm:pt>
    <dgm:pt modelId="{3ADCE015-379A-4DA1-B050-0AF1FB4FAAA0}" type="pres">
      <dgm:prSet presAssocID="{00425D1D-DB49-4F01-B129-F38BFEA9F5A9}" presName="level3hierChild" presStyleCnt="0"/>
      <dgm:spPr/>
    </dgm:pt>
    <dgm:pt modelId="{D9323FB4-687C-4C65-9470-F1A71F51C4C7}" type="pres">
      <dgm:prSet presAssocID="{84125FF2-0C17-4105-896D-FFA8DA9B4B23}" presName="conn2-1" presStyleLbl="parChTrans1D3" presStyleIdx="4" presStyleCnt="6"/>
      <dgm:spPr/>
    </dgm:pt>
    <dgm:pt modelId="{E342E02D-2027-4B7E-BF15-C58439D671A8}" type="pres">
      <dgm:prSet presAssocID="{84125FF2-0C17-4105-896D-FFA8DA9B4B23}" presName="connTx" presStyleLbl="parChTrans1D3" presStyleIdx="4" presStyleCnt="6"/>
      <dgm:spPr/>
    </dgm:pt>
    <dgm:pt modelId="{335AA603-F7B1-461C-9A48-2EB29DC4FB2B}" type="pres">
      <dgm:prSet presAssocID="{65B1C260-E323-44F8-868E-26546A3A08C1}" presName="root2" presStyleCnt="0"/>
      <dgm:spPr/>
    </dgm:pt>
    <dgm:pt modelId="{FDF73456-B5D7-406E-9142-FB46C4CA82EA}" type="pres">
      <dgm:prSet presAssocID="{65B1C260-E323-44F8-868E-26546A3A08C1}" presName="LevelTwoTextNode" presStyleLbl="node3" presStyleIdx="4" presStyleCnt="6">
        <dgm:presLayoutVars>
          <dgm:chPref val="3"/>
        </dgm:presLayoutVars>
      </dgm:prSet>
      <dgm:spPr/>
    </dgm:pt>
    <dgm:pt modelId="{D93D9C7C-303A-4FE1-81FC-5218E7D27283}" type="pres">
      <dgm:prSet presAssocID="{65B1C260-E323-44F8-868E-26546A3A08C1}" presName="level3hierChild" presStyleCnt="0"/>
      <dgm:spPr/>
    </dgm:pt>
    <dgm:pt modelId="{9BE4A52F-5A0D-4495-93ED-124F3853D05E}" type="pres">
      <dgm:prSet presAssocID="{404C9C0E-A60B-4994-BA9E-B616E25A5A82}" presName="conn2-1" presStyleLbl="parChTrans1D4" presStyleIdx="20" presStyleCnt="30"/>
      <dgm:spPr/>
    </dgm:pt>
    <dgm:pt modelId="{F38E34CB-BA4E-43F2-AE76-ADDDC2F6AF8C}" type="pres">
      <dgm:prSet presAssocID="{404C9C0E-A60B-4994-BA9E-B616E25A5A82}" presName="connTx" presStyleLbl="parChTrans1D4" presStyleIdx="20" presStyleCnt="30"/>
      <dgm:spPr/>
    </dgm:pt>
    <dgm:pt modelId="{3CF318FF-F043-40F0-A0CB-65C4B4FF5E89}" type="pres">
      <dgm:prSet presAssocID="{72A43E19-E6BA-4DAD-8A9D-5449A1BA97AE}" presName="root2" presStyleCnt="0"/>
      <dgm:spPr/>
    </dgm:pt>
    <dgm:pt modelId="{F74A89F7-B5B1-411A-A507-7DA4255A624A}" type="pres">
      <dgm:prSet presAssocID="{72A43E19-E6BA-4DAD-8A9D-5449A1BA97AE}" presName="LevelTwoTextNode" presStyleLbl="node4" presStyleIdx="20" presStyleCnt="30">
        <dgm:presLayoutVars>
          <dgm:chPref val="3"/>
        </dgm:presLayoutVars>
      </dgm:prSet>
      <dgm:spPr/>
    </dgm:pt>
    <dgm:pt modelId="{F6A8D533-9DDB-44B2-BCE4-88B0166E1510}" type="pres">
      <dgm:prSet presAssocID="{72A43E19-E6BA-4DAD-8A9D-5449A1BA97AE}" presName="level3hierChild" presStyleCnt="0"/>
      <dgm:spPr/>
    </dgm:pt>
    <dgm:pt modelId="{0E4430D5-CDA1-46C4-A8D2-B977202A1EBF}" type="pres">
      <dgm:prSet presAssocID="{CD804DD5-43ED-4AE6-BBAA-F05C5AAA60CB}" presName="conn2-1" presStyleLbl="parChTrans1D4" presStyleIdx="21" presStyleCnt="30"/>
      <dgm:spPr/>
    </dgm:pt>
    <dgm:pt modelId="{959143E3-7593-4F88-B3E0-2F1542C0EE38}" type="pres">
      <dgm:prSet presAssocID="{CD804DD5-43ED-4AE6-BBAA-F05C5AAA60CB}" presName="connTx" presStyleLbl="parChTrans1D4" presStyleIdx="21" presStyleCnt="30"/>
      <dgm:spPr/>
    </dgm:pt>
    <dgm:pt modelId="{63F0F6C2-3C53-4AF2-BC86-52E5FE0F3341}" type="pres">
      <dgm:prSet presAssocID="{7E0309F5-89B1-476B-A4F2-83751D359304}" presName="root2" presStyleCnt="0"/>
      <dgm:spPr/>
    </dgm:pt>
    <dgm:pt modelId="{FA05FBB8-38CC-4AC9-86BE-70D50F88621A}" type="pres">
      <dgm:prSet presAssocID="{7E0309F5-89B1-476B-A4F2-83751D359304}" presName="LevelTwoTextNode" presStyleLbl="node4" presStyleIdx="21" presStyleCnt="30">
        <dgm:presLayoutVars>
          <dgm:chPref val="3"/>
        </dgm:presLayoutVars>
      </dgm:prSet>
      <dgm:spPr/>
    </dgm:pt>
    <dgm:pt modelId="{5A3E28E7-773E-4AFA-8D6A-A47CC47ADA05}" type="pres">
      <dgm:prSet presAssocID="{7E0309F5-89B1-476B-A4F2-83751D359304}" presName="level3hierChild" presStyleCnt="0"/>
      <dgm:spPr/>
    </dgm:pt>
    <dgm:pt modelId="{04024163-7E66-46A1-8209-73FF25CF8548}" type="pres">
      <dgm:prSet presAssocID="{1A127066-6B48-4007-8536-C9C259991FB9}" presName="conn2-1" presStyleLbl="parChTrans1D4" presStyleIdx="22" presStyleCnt="30"/>
      <dgm:spPr/>
    </dgm:pt>
    <dgm:pt modelId="{59628DDE-4554-49D9-8B02-8F6B90D608B5}" type="pres">
      <dgm:prSet presAssocID="{1A127066-6B48-4007-8536-C9C259991FB9}" presName="connTx" presStyleLbl="parChTrans1D4" presStyleIdx="22" presStyleCnt="30"/>
      <dgm:spPr/>
    </dgm:pt>
    <dgm:pt modelId="{E7DDE02B-AB15-41A0-868B-D7E48FBEAED5}" type="pres">
      <dgm:prSet presAssocID="{6AC2112A-40BC-46C9-ADFE-67D3ABE4C3BE}" presName="root2" presStyleCnt="0"/>
      <dgm:spPr/>
    </dgm:pt>
    <dgm:pt modelId="{5A304F7F-1E24-49F4-B5DD-CB3329AB044D}" type="pres">
      <dgm:prSet presAssocID="{6AC2112A-40BC-46C9-ADFE-67D3ABE4C3BE}" presName="LevelTwoTextNode" presStyleLbl="node4" presStyleIdx="22" presStyleCnt="30">
        <dgm:presLayoutVars>
          <dgm:chPref val="3"/>
        </dgm:presLayoutVars>
      </dgm:prSet>
      <dgm:spPr/>
    </dgm:pt>
    <dgm:pt modelId="{A3A76414-39B5-409E-B05F-0CFB75C485EE}" type="pres">
      <dgm:prSet presAssocID="{6AC2112A-40BC-46C9-ADFE-67D3ABE4C3BE}" presName="level3hierChild" presStyleCnt="0"/>
      <dgm:spPr/>
    </dgm:pt>
    <dgm:pt modelId="{C9B95468-A4CE-4BAB-9D89-2C6B1A0ADB22}" type="pres">
      <dgm:prSet presAssocID="{72E59651-AF70-4217-97EC-61A12291FE7E}" presName="conn2-1" presStyleLbl="parChTrans1D4" presStyleIdx="23" presStyleCnt="30"/>
      <dgm:spPr/>
    </dgm:pt>
    <dgm:pt modelId="{F0451537-1892-407C-8F46-B0CF81421FC1}" type="pres">
      <dgm:prSet presAssocID="{72E59651-AF70-4217-97EC-61A12291FE7E}" presName="connTx" presStyleLbl="parChTrans1D4" presStyleIdx="23" presStyleCnt="30"/>
      <dgm:spPr/>
    </dgm:pt>
    <dgm:pt modelId="{E139B4C7-193E-4669-86E2-B7F0BC4EEA7A}" type="pres">
      <dgm:prSet presAssocID="{E1DAC3A4-3C67-4C29-9909-C4505273F929}" presName="root2" presStyleCnt="0"/>
      <dgm:spPr/>
    </dgm:pt>
    <dgm:pt modelId="{28A887CD-3969-4793-8C57-5CE7B7B07B85}" type="pres">
      <dgm:prSet presAssocID="{E1DAC3A4-3C67-4C29-9909-C4505273F929}" presName="LevelTwoTextNode" presStyleLbl="node4" presStyleIdx="23" presStyleCnt="30">
        <dgm:presLayoutVars>
          <dgm:chPref val="3"/>
        </dgm:presLayoutVars>
      </dgm:prSet>
      <dgm:spPr/>
    </dgm:pt>
    <dgm:pt modelId="{7E794542-B0A1-445A-95FC-C448123F4C3F}" type="pres">
      <dgm:prSet presAssocID="{E1DAC3A4-3C67-4C29-9909-C4505273F929}" presName="level3hierChild" presStyleCnt="0"/>
      <dgm:spPr/>
    </dgm:pt>
    <dgm:pt modelId="{F65DBCA4-D8B6-4E92-B932-80D05BA1A5BC}" type="pres">
      <dgm:prSet presAssocID="{C54DD4B5-E0A6-4AE3-9DFD-50D6C503C6F7}" presName="conn2-1" presStyleLbl="parChTrans1D4" presStyleIdx="24" presStyleCnt="30"/>
      <dgm:spPr/>
    </dgm:pt>
    <dgm:pt modelId="{8249AB79-C1A0-4DF2-9BFC-01160F1F84E5}" type="pres">
      <dgm:prSet presAssocID="{C54DD4B5-E0A6-4AE3-9DFD-50D6C503C6F7}" presName="connTx" presStyleLbl="parChTrans1D4" presStyleIdx="24" presStyleCnt="30"/>
      <dgm:spPr/>
    </dgm:pt>
    <dgm:pt modelId="{4EABAA76-0ED4-48CD-8F7A-F9D592F04AE8}" type="pres">
      <dgm:prSet presAssocID="{55585C46-0E9F-4E4D-8C29-B5A92C96E2FB}" presName="root2" presStyleCnt="0"/>
      <dgm:spPr/>
    </dgm:pt>
    <dgm:pt modelId="{D2A38B7B-D505-438D-8CAE-EC1E09A45375}" type="pres">
      <dgm:prSet presAssocID="{55585C46-0E9F-4E4D-8C29-B5A92C96E2FB}" presName="LevelTwoTextNode" presStyleLbl="node4" presStyleIdx="24" presStyleCnt="30">
        <dgm:presLayoutVars>
          <dgm:chPref val="3"/>
        </dgm:presLayoutVars>
      </dgm:prSet>
      <dgm:spPr/>
    </dgm:pt>
    <dgm:pt modelId="{BA580DB5-F621-422F-B0AC-7CC9A8E02CC4}" type="pres">
      <dgm:prSet presAssocID="{55585C46-0E9F-4E4D-8C29-B5A92C96E2FB}" presName="level3hierChild" presStyleCnt="0"/>
      <dgm:spPr/>
    </dgm:pt>
    <dgm:pt modelId="{82A1A3C9-AF28-4B8F-8304-7BEA9022741B}" type="pres">
      <dgm:prSet presAssocID="{49387588-CAFF-4D97-9D6C-A62D6873F066}" presName="conn2-1" presStyleLbl="parChTrans1D3" presStyleIdx="5" presStyleCnt="6"/>
      <dgm:spPr/>
    </dgm:pt>
    <dgm:pt modelId="{70B0185A-10A5-4082-9EEB-726C2142B87F}" type="pres">
      <dgm:prSet presAssocID="{49387588-CAFF-4D97-9D6C-A62D6873F066}" presName="connTx" presStyleLbl="parChTrans1D3" presStyleIdx="5" presStyleCnt="6"/>
      <dgm:spPr/>
    </dgm:pt>
    <dgm:pt modelId="{81457E04-8C4A-4E78-8CFE-4CD8A08BB603}" type="pres">
      <dgm:prSet presAssocID="{A2987DE3-4A5A-4FAF-B1C6-BFE2E348652F}" presName="root2" presStyleCnt="0"/>
      <dgm:spPr/>
    </dgm:pt>
    <dgm:pt modelId="{3A179D8B-21C3-4C7C-8385-1F895D8D67B5}" type="pres">
      <dgm:prSet presAssocID="{A2987DE3-4A5A-4FAF-B1C6-BFE2E348652F}" presName="LevelTwoTextNode" presStyleLbl="node3" presStyleIdx="5" presStyleCnt="6">
        <dgm:presLayoutVars>
          <dgm:chPref val="3"/>
        </dgm:presLayoutVars>
      </dgm:prSet>
      <dgm:spPr/>
    </dgm:pt>
    <dgm:pt modelId="{7E3983FB-1D0E-464B-B0C7-8CA0AD764DCB}" type="pres">
      <dgm:prSet presAssocID="{A2987DE3-4A5A-4FAF-B1C6-BFE2E348652F}" presName="level3hierChild" presStyleCnt="0"/>
      <dgm:spPr/>
    </dgm:pt>
    <dgm:pt modelId="{1FF5ED4C-2094-42E5-AB19-186AD771CB63}" type="pres">
      <dgm:prSet presAssocID="{1748CFBD-BBFC-45C0-9959-34500A34ED2C}" presName="conn2-1" presStyleLbl="parChTrans1D4" presStyleIdx="25" presStyleCnt="30"/>
      <dgm:spPr/>
    </dgm:pt>
    <dgm:pt modelId="{BCAC5796-D5E0-4CA2-9EA2-E0B79BAFDE76}" type="pres">
      <dgm:prSet presAssocID="{1748CFBD-BBFC-45C0-9959-34500A34ED2C}" presName="connTx" presStyleLbl="parChTrans1D4" presStyleIdx="25" presStyleCnt="30"/>
      <dgm:spPr/>
    </dgm:pt>
    <dgm:pt modelId="{AE86CE96-1B80-42B5-B607-3FCE39EA5E6D}" type="pres">
      <dgm:prSet presAssocID="{A21BD7FC-8E46-4333-AB1D-7D7CE2ABE23E}" presName="root2" presStyleCnt="0"/>
      <dgm:spPr/>
    </dgm:pt>
    <dgm:pt modelId="{DF492ED8-7257-4DCA-A973-CCDD11D8C1D2}" type="pres">
      <dgm:prSet presAssocID="{A21BD7FC-8E46-4333-AB1D-7D7CE2ABE23E}" presName="LevelTwoTextNode" presStyleLbl="node4" presStyleIdx="25" presStyleCnt="30">
        <dgm:presLayoutVars>
          <dgm:chPref val="3"/>
        </dgm:presLayoutVars>
      </dgm:prSet>
      <dgm:spPr/>
    </dgm:pt>
    <dgm:pt modelId="{FCE6250C-0B3D-4B75-9B1D-03C3715C7C04}" type="pres">
      <dgm:prSet presAssocID="{A21BD7FC-8E46-4333-AB1D-7D7CE2ABE23E}" presName="level3hierChild" presStyleCnt="0"/>
      <dgm:spPr/>
    </dgm:pt>
    <dgm:pt modelId="{753FD0E6-6DE9-4F27-ABB7-FC4E115661BD}" type="pres">
      <dgm:prSet presAssocID="{56D7570C-2C59-4619-998A-06FF107FFCF0}" presName="conn2-1" presStyleLbl="parChTrans1D4" presStyleIdx="26" presStyleCnt="30"/>
      <dgm:spPr/>
    </dgm:pt>
    <dgm:pt modelId="{0D2A3688-2095-4DCC-9036-E817DCE0EB51}" type="pres">
      <dgm:prSet presAssocID="{56D7570C-2C59-4619-998A-06FF107FFCF0}" presName="connTx" presStyleLbl="parChTrans1D4" presStyleIdx="26" presStyleCnt="30"/>
      <dgm:spPr/>
    </dgm:pt>
    <dgm:pt modelId="{41A2A52D-1CF9-4C35-BB1C-BE78823BEF89}" type="pres">
      <dgm:prSet presAssocID="{77B1BA3B-47DD-479A-9CF6-7E76361FA719}" presName="root2" presStyleCnt="0"/>
      <dgm:spPr/>
    </dgm:pt>
    <dgm:pt modelId="{D5F883CA-AFB8-47B8-BEE1-D528ADCE38BD}" type="pres">
      <dgm:prSet presAssocID="{77B1BA3B-47DD-479A-9CF6-7E76361FA719}" presName="LevelTwoTextNode" presStyleLbl="node4" presStyleIdx="26" presStyleCnt="30">
        <dgm:presLayoutVars>
          <dgm:chPref val="3"/>
        </dgm:presLayoutVars>
      </dgm:prSet>
      <dgm:spPr/>
    </dgm:pt>
    <dgm:pt modelId="{DC70D6B7-42DA-4F7D-8AFE-4051669F03C1}" type="pres">
      <dgm:prSet presAssocID="{77B1BA3B-47DD-479A-9CF6-7E76361FA719}" presName="level3hierChild" presStyleCnt="0"/>
      <dgm:spPr/>
    </dgm:pt>
    <dgm:pt modelId="{A039F8AA-38D7-4297-9FF1-3040161D29DA}" type="pres">
      <dgm:prSet presAssocID="{E9F65EC5-E5F2-400A-81C3-B6CA1868D0DC}" presName="conn2-1" presStyleLbl="parChTrans1D4" presStyleIdx="27" presStyleCnt="30"/>
      <dgm:spPr/>
    </dgm:pt>
    <dgm:pt modelId="{40A7A0BF-4BF0-4C7E-82A5-6419EE6FE635}" type="pres">
      <dgm:prSet presAssocID="{E9F65EC5-E5F2-400A-81C3-B6CA1868D0DC}" presName="connTx" presStyleLbl="parChTrans1D4" presStyleIdx="27" presStyleCnt="30"/>
      <dgm:spPr/>
    </dgm:pt>
    <dgm:pt modelId="{51F12BDF-9F6A-482E-A213-EF206E0FA8A2}" type="pres">
      <dgm:prSet presAssocID="{EEC87C26-609B-41BA-9470-9A5B7852CDBB}" presName="root2" presStyleCnt="0"/>
      <dgm:spPr/>
    </dgm:pt>
    <dgm:pt modelId="{9197BC2C-54DC-41F7-876A-9145A30175AB}" type="pres">
      <dgm:prSet presAssocID="{EEC87C26-609B-41BA-9470-9A5B7852CDBB}" presName="LevelTwoTextNode" presStyleLbl="node4" presStyleIdx="27" presStyleCnt="30">
        <dgm:presLayoutVars>
          <dgm:chPref val="3"/>
        </dgm:presLayoutVars>
      </dgm:prSet>
      <dgm:spPr/>
    </dgm:pt>
    <dgm:pt modelId="{13A9C59E-F731-4225-878D-4593E2A3C37C}" type="pres">
      <dgm:prSet presAssocID="{EEC87C26-609B-41BA-9470-9A5B7852CDBB}" presName="level3hierChild" presStyleCnt="0"/>
      <dgm:spPr/>
    </dgm:pt>
    <dgm:pt modelId="{B066832F-E973-445E-B1DE-6626F1620126}" type="pres">
      <dgm:prSet presAssocID="{B90D5A3F-69EA-4A85-948A-9DB92E9E99F7}" presName="conn2-1" presStyleLbl="parChTrans1D4" presStyleIdx="28" presStyleCnt="30"/>
      <dgm:spPr/>
    </dgm:pt>
    <dgm:pt modelId="{779E3B06-32E7-47D6-85AF-9F0DB308445D}" type="pres">
      <dgm:prSet presAssocID="{B90D5A3F-69EA-4A85-948A-9DB92E9E99F7}" presName="connTx" presStyleLbl="parChTrans1D4" presStyleIdx="28" presStyleCnt="30"/>
      <dgm:spPr/>
    </dgm:pt>
    <dgm:pt modelId="{5B8E0FA6-9D2A-4BC6-95C0-773F9A9F5D55}" type="pres">
      <dgm:prSet presAssocID="{D1358A50-4042-4E18-9F1B-8B07C5F7CBDE}" presName="root2" presStyleCnt="0"/>
      <dgm:spPr/>
    </dgm:pt>
    <dgm:pt modelId="{32AC4FD9-DB94-482A-9649-7A08C835D9FB}" type="pres">
      <dgm:prSet presAssocID="{D1358A50-4042-4E18-9F1B-8B07C5F7CBDE}" presName="LevelTwoTextNode" presStyleLbl="node4" presStyleIdx="28" presStyleCnt="30">
        <dgm:presLayoutVars>
          <dgm:chPref val="3"/>
        </dgm:presLayoutVars>
      </dgm:prSet>
      <dgm:spPr/>
    </dgm:pt>
    <dgm:pt modelId="{8D6A86CA-71E5-4C20-90DD-A3C1B25DCB4C}" type="pres">
      <dgm:prSet presAssocID="{D1358A50-4042-4E18-9F1B-8B07C5F7CBDE}" presName="level3hierChild" presStyleCnt="0"/>
      <dgm:spPr/>
    </dgm:pt>
    <dgm:pt modelId="{153F4508-2F14-4F62-9CDD-49E11997BC9D}" type="pres">
      <dgm:prSet presAssocID="{B5021C20-6736-4C2D-BF70-957FD4816D32}" presName="conn2-1" presStyleLbl="parChTrans1D4" presStyleIdx="29" presStyleCnt="30"/>
      <dgm:spPr/>
    </dgm:pt>
    <dgm:pt modelId="{698A045C-97C5-4856-A74E-E9E79C624AB7}" type="pres">
      <dgm:prSet presAssocID="{B5021C20-6736-4C2D-BF70-957FD4816D32}" presName="connTx" presStyleLbl="parChTrans1D4" presStyleIdx="29" presStyleCnt="30"/>
      <dgm:spPr/>
    </dgm:pt>
    <dgm:pt modelId="{30FB40BB-EAC5-4D0E-9E9B-F729F92F0565}" type="pres">
      <dgm:prSet presAssocID="{C82CC8D5-C05B-40A8-8393-3A496A624C8A}" presName="root2" presStyleCnt="0"/>
      <dgm:spPr/>
    </dgm:pt>
    <dgm:pt modelId="{49E74F65-E45A-4CE2-9932-E3B6F36804D5}" type="pres">
      <dgm:prSet presAssocID="{C82CC8D5-C05B-40A8-8393-3A496A624C8A}" presName="LevelTwoTextNode" presStyleLbl="node4" presStyleIdx="29" presStyleCnt="30">
        <dgm:presLayoutVars>
          <dgm:chPref val="3"/>
        </dgm:presLayoutVars>
      </dgm:prSet>
      <dgm:spPr/>
    </dgm:pt>
    <dgm:pt modelId="{3DB0E392-49D7-4228-A52B-9B38DE896E3C}" type="pres">
      <dgm:prSet presAssocID="{C82CC8D5-C05B-40A8-8393-3A496A624C8A}" presName="level3hierChild" presStyleCnt="0"/>
      <dgm:spPr/>
    </dgm:pt>
  </dgm:ptLst>
  <dgm:cxnLst>
    <dgm:cxn modelId="{FB1ADE01-78D1-44C8-BDA8-E0C4D7C612F0}" type="presOf" srcId="{CD804DD5-43ED-4AE6-BBAA-F05C5AAA60CB}" destId="{0E4430D5-CDA1-46C4-A8D2-B977202A1EBF}" srcOrd="0" destOrd="0" presId="urn:microsoft.com/office/officeart/2005/8/layout/hierarchy2"/>
    <dgm:cxn modelId="{CCCF1102-71E6-4FF0-8999-4E643091F913}" srcId="{8079D0D9-A099-4D09-B709-073133AB03F8}" destId="{1B8C6820-FA13-4863-B0B9-BFE25798CF7E}" srcOrd="0" destOrd="0" parTransId="{1F892987-FDB6-4BE2-AC1D-BEDF752C2869}" sibTransId="{5808E54B-0814-4058-8FCE-42607AD7224E}"/>
    <dgm:cxn modelId="{55BD8C03-393C-43A2-86DE-2CDC369C1CB4}" srcId="{E1DAC3A4-3C67-4C29-9909-C4505273F929}" destId="{55585C46-0E9F-4E4D-8C29-B5A92C96E2FB}" srcOrd="0" destOrd="0" parTransId="{C54DD4B5-E0A6-4AE3-9DFD-50D6C503C6F7}" sibTransId="{9BE15EBA-A877-4A80-A0C6-13E54974809D}"/>
    <dgm:cxn modelId="{8A7DE303-2681-4CC2-AFEA-BDEDDBAAD606}" type="presOf" srcId="{59FE62FA-3E7F-4877-B952-923D1702E699}" destId="{DF5748A7-7A00-4FBE-A8FC-176979B7C0A1}" srcOrd="1" destOrd="0" presId="urn:microsoft.com/office/officeart/2005/8/layout/hierarchy2"/>
    <dgm:cxn modelId="{87EB2805-0EE2-41BF-A4A2-6FE6D0122E14}" type="presOf" srcId="{700FF247-B690-48A1-8F11-CE1F71494E69}" destId="{95C61D53-300C-4DE4-870C-DD6C24935C0C}" srcOrd="0" destOrd="0" presId="urn:microsoft.com/office/officeart/2005/8/layout/hierarchy2"/>
    <dgm:cxn modelId="{2E8D2908-DF52-44AC-8E1C-10ED1D146121}" type="presOf" srcId="{7A0B60A3-D761-4EFD-96BB-E14801E35819}" destId="{5B8BE731-C7C1-49D4-BB62-68D307B5CEEF}" srcOrd="0" destOrd="0" presId="urn:microsoft.com/office/officeart/2005/8/layout/hierarchy2"/>
    <dgm:cxn modelId="{E4D57508-6846-4B65-8954-C814A7D462E2}" type="presOf" srcId="{77557A6E-E1E3-401F-A22D-8636B99DD043}" destId="{070ECFA4-C9A0-492B-9956-2ED19810F290}" srcOrd="1" destOrd="0" presId="urn:microsoft.com/office/officeart/2005/8/layout/hierarchy2"/>
    <dgm:cxn modelId="{9E6F480C-4869-4B0A-8620-6C29CDD753E4}" srcId="{1B8C6820-FA13-4863-B0B9-BFE25798CF7E}" destId="{78E3CBBC-25DC-408D-B1AC-8DC110FDDC99}" srcOrd="1" destOrd="0" parTransId="{CAC5141E-4F38-4E3F-A32F-9ACC5D1AA74E}" sibTransId="{5C673209-66E1-430D-BF6C-B3460B184E56}"/>
    <dgm:cxn modelId="{EE961F14-7B8F-48C7-A592-7A3AACE1092E}" type="presOf" srcId="{09AD0700-4407-4062-B022-6E592A0FA58A}" destId="{FA58F736-FE1E-4E5B-BA3D-4764D635592C}" srcOrd="1" destOrd="0" presId="urn:microsoft.com/office/officeart/2005/8/layout/hierarchy2"/>
    <dgm:cxn modelId="{ACC14315-4989-410E-9D3C-6B454F051B37}" type="presOf" srcId="{368C4A4E-9843-4B9F-8EA5-4A0D288025CA}" destId="{92354185-DBCA-4A21-84F8-224DFD5AB4AF}" srcOrd="0" destOrd="0" presId="urn:microsoft.com/office/officeart/2005/8/layout/hierarchy2"/>
    <dgm:cxn modelId="{CACD7915-AA24-4873-9BBF-7AE0B6421989}" type="presOf" srcId="{A0D3F31F-6EA4-4543-A7CD-950F3FD69CB5}" destId="{EA1EA348-E697-47A0-BB9C-C79C60FA0661}" srcOrd="0" destOrd="0" presId="urn:microsoft.com/office/officeart/2005/8/layout/hierarchy2"/>
    <dgm:cxn modelId="{65D6ED16-477E-4467-A729-7F9562649DFC}" type="presOf" srcId="{C54DD4B5-E0A6-4AE3-9DFD-50D6C503C6F7}" destId="{8249AB79-C1A0-4DF2-9BFC-01160F1F84E5}" srcOrd="1" destOrd="0" presId="urn:microsoft.com/office/officeart/2005/8/layout/hierarchy2"/>
    <dgm:cxn modelId="{484D6A17-5724-48FC-9E89-A425F7BF192C}" type="presOf" srcId="{C82CC8D5-C05B-40A8-8393-3A496A624C8A}" destId="{49E74F65-E45A-4CE2-9932-E3B6F36804D5}" srcOrd="0" destOrd="0" presId="urn:microsoft.com/office/officeart/2005/8/layout/hierarchy2"/>
    <dgm:cxn modelId="{0A86DF1E-9DBD-4881-A256-DE9941B383E8}" type="presOf" srcId="{F6DE747A-5594-471C-A3D7-E3F9766A12FE}" destId="{38E862A5-037C-4588-B0D5-BEF2BB5800AE}" srcOrd="1" destOrd="0" presId="urn:microsoft.com/office/officeart/2005/8/layout/hierarchy2"/>
    <dgm:cxn modelId="{72F08E22-FD8A-4990-A135-37B8603F287A}" type="presOf" srcId="{B92986B6-4AA0-48FB-9F3E-82E88DF002A6}" destId="{D2D958F5-3D1D-4FD2-856F-1CA136F431C3}" srcOrd="1" destOrd="0" presId="urn:microsoft.com/office/officeart/2005/8/layout/hierarchy2"/>
    <dgm:cxn modelId="{4FB80E23-8942-4D06-B1F2-5879A29F83E7}" type="presOf" srcId="{65132BBA-6634-4763-9A4C-927007D68174}" destId="{AD510A24-47D6-4085-A1F6-3DD4D3724B2A}" srcOrd="0" destOrd="0" presId="urn:microsoft.com/office/officeart/2005/8/layout/hierarchy2"/>
    <dgm:cxn modelId="{34CF5424-7B14-42C3-A0D0-C0A5D1304CFC}" type="presOf" srcId="{B5021C20-6736-4C2D-BF70-957FD4816D32}" destId="{153F4508-2F14-4F62-9CDD-49E11997BC9D}" srcOrd="0" destOrd="0" presId="urn:microsoft.com/office/officeart/2005/8/layout/hierarchy2"/>
    <dgm:cxn modelId="{9ACE3326-4BEA-4BE0-864B-B943EB778954}" type="presOf" srcId="{77B1BA3B-47DD-479A-9CF6-7E76361FA719}" destId="{D5F883CA-AFB8-47B8-BEE1-D528ADCE38BD}" srcOrd="0" destOrd="0" presId="urn:microsoft.com/office/officeart/2005/8/layout/hierarchy2"/>
    <dgm:cxn modelId="{1D3F282F-5C16-433F-88D3-FA22E20ABD08}" type="presOf" srcId="{72E59651-AF70-4217-97EC-61A12291FE7E}" destId="{F0451537-1892-407C-8F46-B0CF81421FC1}" srcOrd="1" destOrd="0" presId="urn:microsoft.com/office/officeart/2005/8/layout/hierarchy2"/>
    <dgm:cxn modelId="{2D820930-1303-485F-8872-833D376E0139}" srcId="{46EC3575-2C61-4F94-94CB-9246DD8E0DF6}" destId="{5AC49862-522C-4072-A2EA-F8B0338631E2}" srcOrd="0" destOrd="0" parTransId="{28C9985C-DA3C-4393-BC4C-8A33A9073F70}" sibTransId="{984D57EC-BEA7-495A-A1E8-87CE7A0B922F}"/>
    <dgm:cxn modelId="{18BCAC33-F6F1-4B99-AEA8-524693AA9DD6}" type="presOf" srcId="{B5021C20-6736-4C2D-BF70-957FD4816D32}" destId="{698A045C-97C5-4856-A74E-E9E79C624AB7}" srcOrd="1" destOrd="0" presId="urn:microsoft.com/office/officeart/2005/8/layout/hierarchy2"/>
    <dgm:cxn modelId="{4EF36C34-FCB2-4A82-A4C9-E4F25D600254}" srcId="{6AC2112A-40BC-46C9-ADFE-67D3ABE4C3BE}" destId="{E1DAC3A4-3C67-4C29-9909-C4505273F929}" srcOrd="0" destOrd="0" parTransId="{72E59651-AF70-4217-97EC-61A12291FE7E}" sibTransId="{CC70C054-E6E8-434D-B9FF-ACD3A1DB4741}"/>
    <dgm:cxn modelId="{C7899A35-E426-4265-9142-4CC1B2C994CE}" srcId="{8106C1FB-2EB3-4CCB-A285-B12E0B5CA849}" destId="{AE818FA7-66FE-453C-A51E-B9069AC414D3}" srcOrd="0" destOrd="0" parTransId="{B92986B6-4AA0-48FB-9F3E-82E88DF002A6}" sibTransId="{51063502-F340-4345-B91B-3205402E7749}"/>
    <dgm:cxn modelId="{71555336-8FA4-405B-8502-FFF8994F3B2A}" type="presOf" srcId="{092AAFCB-9CC7-4300-8288-19F776192689}" destId="{C83D046E-BFC0-4156-9ABF-8C1A4EE346B8}" srcOrd="1" destOrd="0" presId="urn:microsoft.com/office/officeart/2005/8/layout/hierarchy2"/>
    <dgm:cxn modelId="{21059636-2B32-4C83-B62F-09F802433A9A}" type="presOf" srcId="{55585C46-0E9F-4E4D-8C29-B5A92C96E2FB}" destId="{D2A38B7B-D505-438D-8CAE-EC1E09A45375}" srcOrd="0" destOrd="0" presId="urn:microsoft.com/office/officeart/2005/8/layout/hierarchy2"/>
    <dgm:cxn modelId="{8A44543A-6C6B-4129-B905-342BB9DDF697}" type="presOf" srcId="{E9F65EC5-E5F2-400A-81C3-B6CA1868D0DC}" destId="{40A7A0BF-4BF0-4C7E-82A5-6419EE6FE635}" srcOrd="1" destOrd="0" presId="urn:microsoft.com/office/officeart/2005/8/layout/hierarchy2"/>
    <dgm:cxn modelId="{3BE6233D-6216-4793-9FF7-05CCD227EC50}" type="presOf" srcId="{94F96DEC-6E2B-456C-A551-2A26B53E8A43}" destId="{D935D560-7774-4779-8BD2-13BFC1D3BACF}" srcOrd="0" destOrd="0" presId="urn:microsoft.com/office/officeart/2005/8/layout/hierarchy2"/>
    <dgm:cxn modelId="{4BD33C3D-3178-488C-AE42-A167815B03CF}" srcId="{78368200-05F7-4E40-8A38-55CC74C00BFC}" destId="{EF59DEBA-3D6F-4B91-A318-9B2AAF29B070}" srcOrd="0" destOrd="0" parTransId="{65132BBA-6634-4763-9A4C-927007D68174}" sibTransId="{2B4E8845-DB21-4AEF-A200-284A2609DD85}"/>
    <dgm:cxn modelId="{ECDDFB3D-ACD4-445D-B6D5-4A07372A8B2E}" type="presOf" srcId="{81EABEA9-DABF-434E-B793-BEEABE2D7523}" destId="{2DF28BDD-B675-4005-8498-647C08CCD132}" srcOrd="1" destOrd="0" presId="urn:microsoft.com/office/officeart/2005/8/layout/hierarchy2"/>
    <dgm:cxn modelId="{F8EFC03F-3456-4BB6-9C94-FCB81FC42C02}" type="presOf" srcId="{EF59DEBA-3D6F-4B91-A318-9B2AAF29B070}" destId="{F87CEE2C-13F7-47DD-A4A5-8DD2DBA4CAB0}" srcOrd="0" destOrd="0" presId="urn:microsoft.com/office/officeart/2005/8/layout/hierarchy2"/>
    <dgm:cxn modelId="{3D679A5C-7B33-462C-9E2A-9019A27ACAFD}" type="presOf" srcId="{B9FD5E08-0694-4032-B46A-65ABDB900A6B}" destId="{297F8706-E109-49E4-B0DC-472D81B891BD}" srcOrd="1" destOrd="0" presId="urn:microsoft.com/office/officeart/2005/8/layout/hierarchy2"/>
    <dgm:cxn modelId="{89E9295E-0CCD-4569-9350-8C174E23ACB6}" type="presOf" srcId="{404C9C0E-A60B-4994-BA9E-B616E25A5A82}" destId="{9BE4A52F-5A0D-4495-93ED-124F3853D05E}" srcOrd="0" destOrd="0" presId="urn:microsoft.com/office/officeart/2005/8/layout/hierarchy2"/>
    <dgm:cxn modelId="{9038535E-4F2E-4FC7-B4BF-6D90672DF0C7}" srcId="{9F8524B7-42DF-4BE1-B47C-FF48D482776F}" destId="{78368200-05F7-4E40-8A38-55CC74C00BFC}" srcOrd="0" destOrd="0" parTransId="{092AAFCB-9CC7-4300-8288-19F776192689}" sibTransId="{44D42EB1-492A-444D-8E4B-39496233E9F9}"/>
    <dgm:cxn modelId="{38F4DC5E-A61C-409E-94D7-D552832C5882}" type="presOf" srcId="{092AAFCB-9CC7-4300-8288-19F776192689}" destId="{C80259AB-F3D9-4E2B-A527-B7387593D480}" srcOrd="0" destOrd="0" presId="urn:microsoft.com/office/officeart/2005/8/layout/hierarchy2"/>
    <dgm:cxn modelId="{FC400A5F-1DC0-4E7A-A089-91645D64D2DA}" type="presOf" srcId="{20F19BCA-33B1-4338-92E7-865F0CEE3F87}" destId="{FA44B7C6-7A53-48D1-A800-6F77A46D1280}" srcOrd="1" destOrd="0" presId="urn:microsoft.com/office/officeart/2005/8/layout/hierarchy2"/>
    <dgm:cxn modelId="{B40F9360-995F-4336-B1E8-3AD1B2D71913}" type="presOf" srcId="{2E6245A3-0459-47A9-A034-1F5E86079A67}" destId="{ED5C4E3A-798B-452D-AA38-E6CB3F6C2A8A}" srcOrd="1" destOrd="0" presId="urn:microsoft.com/office/officeart/2005/8/layout/hierarchy2"/>
    <dgm:cxn modelId="{E1A54C61-6463-4B15-BE53-170C30584201}" type="presOf" srcId="{B9FD5E08-0694-4032-B46A-65ABDB900A6B}" destId="{33D7B50A-568A-404F-AF6B-F637E120BDDA}" srcOrd="0" destOrd="0" presId="urn:microsoft.com/office/officeart/2005/8/layout/hierarchy2"/>
    <dgm:cxn modelId="{5EDBBB62-7335-4481-8A0E-A4380B5A1CB0}" type="presOf" srcId="{CAC5141E-4F38-4E3F-A32F-9ACC5D1AA74E}" destId="{CA62244B-2FF4-4E67-A35C-072FD368DE55}" srcOrd="1" destOrd="0" presId="urn:microsoft.com/office/officeart/2005/8/layout/hierarchy2"/>
    <dgm:cxn modelId="{54BBDF43-8E24-4182-9011-520D8FF47D8F}" srcId="{EF59DEBA-3D6F-4B91-A318-9B2AAF29B070}" destId="{DFA1E77A-9E29-4A5A-A936-2662EFE2F365}" srcOrd="0" destOrd="0" parTransId="{B9FD5E08-0694-4032-B46A-65ABDB900A6B}" sibTransId="{D098DAD4-1CF3-4342-8874-0D2C9357A2B5}"/>
    <dgm:cxn modelId="{F2874844-0076-4883-B0FA-DBB781D762AB}" type="presOf" srcId="{9F8524B7-42DF-4BE1-B47C-FF48D482776F}" destId="{761806C1-4E14-4F20-8E3F-BE484331CAC1}" srcOrd="0" destOrd="0" presId="urn:microsoft.com/office/officeart/2005/8/layout/hierarchy2"/>
    <dgm:cxn modelId="{977AB544-BEFC-4E88-B812-55BB7614BF61}" srcId="{1B8C6820-FA13-4863-B0B9-BFE25798CF7E}" destId="{00425D1D-DB49-4F01-B129-F38BFEA9F5A9}" srcOrd="2" destOrd="0" parTransId="{59FE62FA-3E7F-4877-B952-923D1702E699}" sibTransId="{817F5113-757A-42B7-BE02-9D3E5CCDB2B2}"/>
    <dgm:cxn modelId="{B9B5AF65-EA49-4EC8-B628-5F6EF9194EDD}" type="presOf" srcId="{E7409D3A-794D-40A7-9CB4-F996FF93D0C5}" destId="{784A4196-5237-4BCF-9946-8FF02AEA1C2B}" srcOrd="1" destOrd="0" presId="urn:microsoft.com/office/officeart/2005/8/layout/hierarchy2"/>
    <dgm:cxn modelId="{EF47E145-04FC-49EE-90FB-AE7A418882ED}" type="presOf" srcId="{CAB965D5-11D4-4D85-86E3-B48CE2FB52FB}" destId="{3B823CFA-19C5-4D97-A446-D53C1ED7110C}" srcOrd="1" destOrd="0" presId="urn:microsoft.com/office/officeart/2005/8/layout/hierarchy2"/>
    <dgm:cxn modelId="{1E45F045-3078-409A-A7B1-E18E47F652F6}" srcId="{700FF247-B690-48A1-8F11-CE1F71494E69}" destId="{22B715A1-7759-4735-B789-02883D13EA1F}" srcOrd="0" destOrd="0" parTransId="{CAB965D5-11D4-4D85-86E3-B48CE2FB52FB}" sibTransId="{CC4A1F4B-8BB0-4BC4-A367-725B27E3E4A3}"/>
    <dgm:cxn modelId="{D6FA4D46-DE11-4DB2-9188-C1322CF3518F}" srcId="{A2987DE3-4A5A-4FAF-B1C6-BFE2E348652F}" destId="{A21BD7FC-8E46-4333-AB1D-7D7CE2ABE23E}" srcOrd="0" destOrd="0" parTransId="{1748CFBD-BBFC-45C0-9959-34500A34ED2C}" sibTransId="{B68A993E-3C50-4F02-8461-33EE24CB81F4}"/>
    <dgm:cxn modelId="{F972C066-23F2-4521-B1F1-45CF19C86948}" type="presOf" srcId="{E9F65EC5-E5F2-400A-81C3-B6CA1868D0DC}" destId="{A039F8AA-38D7-4297-9FF1-3040161D29DA}" srcOrd="0" destOrd="0" presId="urn:microsoft.com/office/officeart/2005/8/layout/hierarchy2"/>
    <dgm:cxn modelId="{1F0FD766-A7FC-488D-9A15-6488FBA37130}" type="presOf" srcId="{14C24CF8-D01E-4C09-B727-0E0964F3B4F6}" destId="{7E949926-E243-4CA5-864B-20D791018212}" srcOrd="0" destOrd="0" presId="urn:microsoft.com/office/officeart/2005/8/layout/hierarchy2"/>
    <dgm:cxn modelId="{F8C8A647-21C0-474E-9ADB-8B243800A8DF}" type="presOf" srcId="{1A127066-6B48-4007-8536-C9C259991FB9}" destId="{04024163-7E66-46A1-8209-73FF25CF8548}" srcOrd="0" destOrd="0" presId="urn:microsoft.com/office/officeart/2005/8/layout/hierarchy2"/>
    <dgm:cxn modelId="{3171E767-6AEE-418A-8DCF-37E60B644F26}" srcId="{EEC87C26-609B-41BA-9470-9A5B7852CDBB}" destId="{D1358A50-4042-4E18-9F1B-8B07C5F7CBDE}" srcOrd="0" destOrd="0" parTransId="{B90D5A3F-69EA-4A85-948A-9DB92E9E99F7}" sibTransId="{4D1750FB-ABAE-46D1-AC01-0ED27C53C4EA}"/>
    <dgm:cxn modelId="{CDDFEC67-84DE-4BB2-AC7A-7CF3D12B6187}" type="presOf" srcId="{7E0309F5-89B1-476B-A4F2-83751D359304}" destId="{FA05FBB8-38CC-4AC9-86BE-70D50F88621A}" srcOrd="0" destOrd="0" presId="urn:microsoft.com/office/officeart/2005/8/layout/hierarchy2"/>
    <dgm:cxn modelId="{916BA668-65C3-43E3-9974-174D33BEC767}" srcId="{ADD2637B-8031-41B7-AE54-5A859BE41CB1}" destId="{C96C0738-5760-48E4-A845-9BD012F2AC7D}" srcOrd="0" destOrd="0" parTransId="{5BBE2C78-9BEC-40B0-BB89-CF6F2F4F2ECA}" sibTransId="{D2E3F9BD-A2BE-446E-AAC7-80F8C1EC95D7}"/>
    <dgm:cxn modelId="{A809F448-DE3D-49EB-8975-1EA7F570C0FF}" type="presOf" srcId="{73B82507-9FA1-4CF3-B951-408B81A46887}" destId="{4D5AB6F6-FFAC-458C-B555-327068430A50}" srcOrd="0" destOrd="0" presId="urn:microsoft.com/office/officeart/2005/8/layout/hierarchy2"/>
    <dgm:cxn modelId="{41A02949-8EF9-4E77-BACF-43B7F395EBA5}" type="presOf" srcId="{28C9985C-DA3C-4393-BC4C-8A33A9073F70}" destId="{16E5B41E-C7D6-4189-830D-DBCFC9121696}" srcOrd="1" destOrd="0" presId="urn:microsoft.com/office/officeart/2005/8/layout/hierarchy2"/>
    <dgm:cxn modelId="{26E0BE49-448C-4548-9975-2F48ABF5848F}" srcId="{C96C0738-5760-48E4-A845-9BD012F2AC7D}" destId="{0D025768-1A3D-4077-8E72-5D9A8F021D4F}" srcOrd="0" destOrd="0" parTransId="{81EABEA9-DABF-434E-B793-BEEABE2D7523}" sibTransId="{F02107B4-CC3E-4231-8BBC-775EB6C06C97}"/>
    <dgm:cxn modelId="{DD06A06B-4A7A-48A9-A94B-C0297797EC85}" type="presOf" srcId="{5BBE2C78-9BEC-40B0-BB89-CF6F2F4F2ECA}" destId="{C880F6F0-42D8-4F70-8552-49AAF1D51B85}" srcOrd="0" destOrd="0" presId="urn:microsoft.com/office/officeart/2005/8/layout/hierarchy2"/>
    <dgm:cxn modelId="{56BFFF6B-1073-406E-A867-2A831BEC6FC1}" srcId="{77B1BA3B-47DD-479A-9CF6-7E76361FA719}" destId="{EEC87C26-609B-41BA-9470-9A5B7852CDBB}" srcOrd="0" destOrd="0" parTransId="{E9F65EC5-E5F2-400A-81C3-B6CA1868D0DC}" sibTransId="{47AD2BA3-5D40-46FB-9208-4776BACD7B64}"/>
    <dgm:cxn modelId="{E206244C-598B-4DFD-9823-B85ECACBDC51}" type="presOf" srcId="{00425D1D-DB49-4F01-B129-F38BFEA9F5A9}" destId="{3FF46F38-73CF-4DBB-B22D-5757F5DF1549}" srcOrd="0" destOrd="0" presId="urn:microsoft.com/office/officeart/2005/8/layout/hierarchy2"/>
    <dgm:cxn modelId="{3835966C-58B9-40D0-BD3D-85742B03AB87}" type="presOf" srcId="{ADD2637B-8031-41B7-AE54-5A859BE41CB1}" destId="{0D28B1C1-D54B-4DB5-9F81-53E245C42E6F}" srcOrd="0" destOrd="0" presId="urn:microsoft.com/office/officeart/2005/8/layout/hierarchy2"/>
    <dgm:cxn modelId="{3165744D-DEC0-428A-9DE1-185CFD0AEA73}" type="presOf" srcId="{1748CFBD-BBFC-45C0-9959-34500A34ED2C}" destId="{BCAC5796-D5E0-4CA2-9EA2-E0B79BAFDE76}" srcOrd="1" destOrd="0" presId="urn:microsoft.com/office/officeart/2005/8/layout/hierarchy2"/>
    <dgm:cxn modelId="{7BEA1F4E-4629-404D-B3CC-EFB7D4E6615D}" type="presOf" srcId="{84125FF2-0C17-4105-896D-FFA8DA9B4B23}" destId="{E342E02D-2027-4B7E-BF15-C58439D671A8}" srcOrd="1" destOrd="0" presId="urn:microsoft.com/office/officeart/2005/8/layout/hierarchy2"/>
    <dgm:cxn modelId="{D92ED96E-DFD4-48BB-8A6E-739CF3F45926}" srcId="{DFA1E77A-9E29-4A5A-A936-2662EFE2F365}" destId="{69514321-14FF-45DB-85E6-7557B241902E}" srcOrd="0" destOrd="0" parTransId="{2E6245A3-0459-47A9-A034-1F5E86079A67}" sibTransId="{E2961E10-9A55-4F72-9463-3CF1F3802AF5}"/>
    <dgm:cxn modelId="{5EB7E34E-7CCF-4F06-9880-C5737B991C86}" type="presOf" srcId="{73B82507-9FA1-4CF3-B951-408B81A46887}" destId="{E33B4A0B-D312-48ED-BF2B-003EC52272A1}" srcOrd="1" destOrd="0" presId="urn:microsoft.com/office/officeart/2005/8/layout/hierarchy2"/>
    <dgm:cxn modelId="{CBD2624F-7B31-45DC-B866-867CC97A20B1}" type="presOf" srcId="{D324B81B-FE4A-41CC-901E-876762FC7533}" destId="{B0BF95EF-E3AD-447A-B62C-646AC58C325F}" srcOrd="0" destOrd="0" presId="urn:microsoft.com/office/officeart/2005/8/layout/hierarchy2"/>
    <dgm:cxn modelId="{2331D66F-B26C-4C53-8B3B-F2AE65B16CCD}" type="presOf" srcId="{A8DD840D-CFB4-45B5-A276-7AFD7FF19C8F}" destId="{9B9A8B3B-C716-4EAA-95F2-651252168522}" srcOrd="1" destOrd="0" presId="urn:microsoft.com/office/officeart/2005/8/layout/hierarchy2"/>
    <dgm:cxn modelId="{C1801250-5D3C-4D8B-A78D-5708282AD7AB}" type="presOf" srcId="{56D7570C-2C59-4619-998A-06FF107FFCF0}" destId="{753FD0E6-6DE9-4F27-ABB7-FC4E115661BD}" srcOrd="0" destOrd="0" presId="urn:microsoft.com/office/officeart/2005/8/layout/hierarchy2"/>
    <dgm:cxn modelId="{E35F4070-DEAB-4875-9845-36F4D1F32C2B}" srcId="{E541BC02-B744-4520-9520-42E8BFB3C178}" destId="{4D222076-3CE8-40D1-A8BA-FE892BB40D65}" srcOrd="0" destOrd="0" parTransId="{FCF8BD5F-24C7-4080-9F53-F57A45CB0DDE}" sibTransId="{089179DC-6B5F-4FDF-9CF6-019859A3296E}"/>
    <dgm:cxn modelId="{808EFF50-990C-4E1B-A114-31D43C306706}" type="presOf" srcId="{4D222076-3CE8-40D1-A8BA-FE892BB40D65}" destId="{A844538E-617C-47D5-90B1-EC4C304BD896}" srcOrd="0" destOrd="0" presId="urn:microsoft.com/office/officeart/2005/8/layout/hierarchy2"/>
    <dgm:cxn modelId="{FF686052-A30B-4AE1-9A08-83F428C360AA}" type="presOf" srcId="{369CBC4C-9F54-4403-B0CB-47F11AD6A209}" destId="{3CC85C9C-3AD6-42D8-8BB3-F6239BEC3592}" srcOrd="0" destOrd="0" presId="urn:microsoft.com/office/officeart/2005/8/layout/hierarchy2"/>
    <dgm:cxn modelId="{43659373-048E-4401-BBE0-4530EC8E3056}" type="presOf" srcId="{C96C0738-5760-48E4-A845-9BD012F2AC7D}" destId="{FDF57252-0485-4E94-9518-819B97E653A5}" srcOrd="0" destOrd="0" presId="urn:microsoft.com/office/officeart/2005/8/layout/hierarchy2"/>
    <dgm:cxn modelId="{47708774-538F-46AA-8CF6-682430497A6B}" srcId="{14C24CF8-D01E-4C09-B727-0E0964F3B4F6}" destId="{32DA57A2-2FE9-46BB-A8E5-4E17455AA026}" srcOrd="0" destOrd="0" parTransId="{7A0B60A3-D761-4EFD-96BB-E14801E35819}" sibTransId="{239D64D8-132A-4A41-AEE6-7C6177C1C4E7}"/>
    <dgm:cxn modelId="{6CC63456-5A16-4003-8BF4-2C4C1FAE66BC}" type="presOf" srcId="{30FDD53A-8D16-491D-A15F-B745CF4D9439}" destId="{DEAE5233-53DC-48B0-9092-BF78F921775F}" srcOrd="0" destOrd="0" presId="urn:microsoft.com/office/officeart/2005/8/layout/hierarchy2"/>
    <dgm:cxn modelId="{ECF28856-9A00-489B-A10C-061820CD0506}" type="presOf" srcId="{CAC5141E-4F38-4E3F-A32F-9ACC5D1AA74E}" destId="{91D01C26-9709-41EC-A65C-3D106AAC4F07}" srcOrd="0" destOrd="0" presId="urn:microsoft.com/office/officeart/2005/8/layout/hierarchy2"/>
    <dgm:cxn modelId="{D937CA76-DAB0-40FF-A3EA-F60B7C44A141}" type="presOf" srcId="{DFA1E77A-9E29-4A5A-A936-2662EFE2F365}" destId="{3C1BBCC7-E79E-4814-8297-5BB246104496}" srcOrd="0" destOrd="0" presId="urn:microsoft.com/office/officeart/2005/8/layout/hierarchy2"/>
    <dgm:cxn modelId="{78563957-21B9-4E29-94D1-8425BD464EBB}" type="presOf" srcId="{A21BD7FC-8E46-4333-AB1D-7D7CE2ABE23E}" destId="{DF492ED8-7257-4DCA-A973-CCDD11D8C1D2}" srcOrd="0" destOrd="0" presId="urn:microsoft.com/office/officeart/2005/8/layout/hierarchy2"/>
    <dgm:cxn modelId="{1EA87E77-A672-4CC0-8BF5-3F5925DA53AA}" srcId="{69514321-14FF-45DB-85E6-7557B241902E}" destId="{A0D3F31F-6EA4-4543-A7CD-950F3FD69CB5}" srcOrd="0" destOrd="0" parTransId="{F813F40D-B438-4529-9CC3-1C537F085921}" sibTransId="{34428773-57D2-4F5E-9CD9-30E435C04DEC}"/>
    <dgm:cxn modelId="{E1F68757-661D-47FB-B900-EBB49934426C}" type="presOf" srcId="{FCF8BD5F-24C7-4080-9F53-F57A45CB0DDE}" destId="{CB3877FC-91B8-4FC2-9D6B-E11F9D0115BE}" srcOrd="0" destOrd="0" presId="urn:microsoft.com/office/officeart/2005/8/layout/hierarchy2"/>
    <dgm:cxn modelId="{81721578-9831-487E-9EFA-1610292C7666}" type="presOf" srcId="{20F19BCA-33B1-4338-92E7-865F0CEE3F87}" destId="{8FCFA1DF-8D7B-4AE3-A13D-E9E0A8D4269E}" srcOrd="0" destOrd="0" presId="urn:microsoft.com/office/officeart/2005/8/layout/hierarchy2"/>
    <dgm:cxn modelId="{BECF7459-4545-47AF-BFA7-53F854B96C0E}" type="presOf" srcId="{D1358A50-4042-4E18-9F1B-8B07C5F7CBDE}" destId="{32AC4FD9-DB94-482A-9649-7A08C835D9FB}" srcOrd="0" destOrd="0" presId="urn:microsoft.com/office/officeart/2005/8/layout/hierarchy2"/>
    <dgm:cxn modelId="{5BC2605A-0476-4AC7-93CB-CFADE54C3F7C}" type="presOf" srcId="{49387588-CAFF-4D97-9D6C-A62D6873F066}" destId="{82A1A3C9-AF28-4B8F-8304-7BEA9022741B}" srcOrd="0" destOrd="0" presId="urn:microsoft.com/office/officeart/2005/8/layout/hierarchy2"/>
    <dgm:cxn modelId="{E228455A-F462-40F6-892E-372F6FD45CC1}" type="presOf" srcId="{5F483117-7082-408B-A172-BBD6D8A0D3B6}" destId="{75C27B92-6CC4-4B40-95A9-71E9F09AC553}" srcOrd="0" destOrd="0" presId="urn:microsoft.com/office/officeart/2005/8/layout/hierarchy2"/>
    <dgm:cxn modelId="{E3F91E7B-D7B7-4170-8F87-5E14E15ECA67}" srcId="{D324B81B-FE4A-41CC-901E-876762FC7533}" destId="{14C24CF8-D01E-4C09-B727-0E0964F3B4F6}" srcOrd="0" destOrd="0" parTransId="{368C4A4E-9843-4B9F-8EA5-4A0D288025CA}" sibTransId="{5A4E6575-9C61-4853-9A8D-0D06280E48A6}"/>
    <dgm:cxn modelId="{65B18F7E-590C-4E6D-B10F-30D0052F30E1}" type="presOf" srcId="{C32ED9B4-3E78-4DDC-A863-96136C9CB613}" destId="{79E0999D-89C1-4FE8-831F-E869D069138D}" srcOrd="0" destOrd="0" presId="urn:microsoft.com/office/officeart/2005/8/layout/hierarchy2"/>
    <dgm:cxn modelId="{F0E9CC7E-B931-4D71-8BE5-2558557F7AB7}" type="presOf" srcId="{BFE18D0B-7C5E-4160-95D0-B65118D6A6FF}" destId="{0AE6B2AC-C2C5-46AA-B3AA-D03601EE18E1}" srcOrd="1" destOrd="0" presId="urn:microsoft.com/office/officeart/2005/8/layout/hierarchy2"/>
    <dgm:cxn modelId="{23199980-955B-47A3-ACA2-587877CDDC6E}" srcId="{32DA57A2-2FE9-46BB-A8E5-4E17455AA026}" destId="{46EC3575-2C61-4F94-94CB-9246DD8E0DF6}" srcOrd="0" destOrd="0" parTransId="{94F96DEC-6E2B-456C-A551-2A26B53E8A43}" sibTransId="{C556CCD6-81C7-448C-AEC1-218AED25276A}"/>
    <dgm:cxn modelId="{3CEEB081-4C37-4A77-9B0A-6B5E41C4A15B}" srcId="{72A43E19-E6BA-4DAD-8A9D-5449A1BA97AE}" destId="{7E0309F5-89B1-476B-A4F2-83751D359304}" srcOrd="0" destOrd="0" parTransId="{CD804DD5-43ED-4AE6-BBAA-F05C5AAA60CB}" sibTransId="{F6C1CE24-99D0-42C6-8273-744F76E6CED1}"/>
    <dgm:cxn modelId="{3DFDDD82-4548-4BF9-A207-820E1D503C03}" type="presOf" srcId="{AE818FA7-66FE-453C-A51E-B9069AC414D3}" destId="{C33C51E7-9AC2-4AF1-AB1C-DF47A3951776}" srcOrd="0" destOrd="0" presId="urn:microsoft.com/office/officeart/2005/8/layout/hierarchy2"/>
    <dgm:cxn modelId="{A01E8585-554C-4CE7-A365-E318BAE79D88}" srcId="{00425D1D-DB49-4F01-B129-F38BFEA9F5A9}" destId="{A2987DE3-4A5A-4FAF-B1C6-BFE2E348652F}" srcOrd="1" destOrd="0" parTransId="{49387588-CAFF-4D97-9D6C-A62D6873F066}" sibTransId="{42B6F07E-AC7D-4F77-8B78-3E03ACC2BEFD}"/>
    <dgm:cxn modelId="{DE3E768C-6A98-4AFA-B6D8-652314CB02AE}" type="presOf" srcId="{1A127066-6B48-4007-8536-C9C259991FB9}" destId="{59628DDE-4554-49D9-8B02-8F6B90D608B5}" srcOrd="1" destOrd="0" presId="urn:microsoft.com/office/officeart/2005/8/layout/hierarchy2"/>
    <dgm:cxn modelId="{F0E0938C-7383-4031-B2F6-590963B55FCB}" type="presOf" srcId="{32DA57A2-2FE9-46BB-A8E5-4E17455AA026}" destId="{44DCE07A-E41F-4B9A-9AFD-AF1F7CCED65A}" srcOrd="0" destOrd="0" presId="urn:microsoft.com/office/officeart/2005/8/layout/hierarchy2"/>
    <dgm:cxn modelId="{9EA82291-1E46-451D-98C8-A3B94AF011BE}" type="presOf" srcId="{1B8C6820-FA13-4863-B0B9-BFE25798CF7E}" destId="{D92A483E-584E-4BE9-9E81-16EB31341344}" srcOrd="0" destOrd="0" presId="urn:microsoft.com/office/officeart/2005/8/layout/hierarchy2"/>
    <dgm:cxn modelId="{30DCFF92-E543-422A-B62E-586FBC9914F5}" type="presOf" srcId="{C54DD4B5-E0A6-4AE3-9DFD-50D6C503C6F7}" destId="{F65DBCA4-D8B6-4E92-B932-80D05BA1A5BC}" srcOrd="0" destOrd="0" presId="urn:microsoft.com/office/officeart/2005/8/layout/hierarchy2"/>
    <dgm:cxn modelId="{4D39AC97-BEE1-46BA-9C81-A3151A75FDE2}" type="presOf" srcId="{72A43E19-E6BA-4DAD-8A9D-5449A1BA97AE}" destId="{F74A89F7-B5B1-411A-A507-7DA4255A624A}" srcOrd="0" destOrd="0" presId="urn:microsoft.com/office/officeart/2005/8/layout/hierarchy2"/>
    <dgm:cxn modelId="{3A929E98-8FDF-4ACE-86D1-3F7FD80D05A1}" srcId="{EF17F899-03B0-4F10-90A9-5BB7B299C710}" destId="{700FF247-B690-48A1-8F11-CE1F71494E69}" srcOrd="0" destOrd="0" parTransId="{C32ED9B4-3E78-4DDC-A863-96136C9CB613}" sibTransId="{52B8235A-588D-416D-89EE-A4180113CF3D}"/>
    <dgm:cxn modelId="{3AB05799-B728-45D2-8DC6-AAF609323D30}" srcId="{00425D1D-DB49-4F01-B129-F38BFEA9F5A9}" destId="{65B1C260-E323-44F8-868E-26546A3A08C1}" srcOrd="0" destOrd="0" parTransId="{84125FF2-0C17-4105-896D-FFA8DA9B4B23}" sibTransId="{1C521A63-80E3-4AE6-817C-BF8ECB1C256D}"/>
    <dgm:cxn modelId="{A0CE759A-B872-4832-A810-4AE1E3481817}" type="presOf" srcId="{6AC2112A-40BC-46C9-ADFE-67D3ABE4C3BE}" destId="{5A304F7F-1E24-49F4-B5DD-CB3329AB044D}" srcOrd="0" destOrd="0" presId="urn:microsoft.com/office/officeart/2005/8/layout/hierarchy2"/>
    <dgm:cxn modelId="{63DF569A-04DD-4FB6-9B74-20AF4F4AEEED}" type="presOf" srcId="{2E6245A3-0459-47A9-A034-1F5E86079A67}" destId="{121D9905-B3A4-436E-A1D5-F457DC0FB490}" srcOrd="0" destOrd="0" presId="urn:microsoft.com/office/officeart/2005/8/layout/hierarchy2"/>
    <dgm:cxn modelId="{6073479C-36BB-4799-8BC2-E6EC8F2CE987}" type="presOf" srcId="{2CEBF63B-C260-41A3-975B-DB9DF49F1189}" destId="{BC67764E-F868-4BC7-88D4-3FB4FCFB2B03}" srcOrd="0" destOrd="0" presId="urn:microsoft.com/office/officeart/2005/8/layout/hierarchy2"/>
    <dgm:cxn modelId="{35C9579F-53B5-41EF-8265-BDC087A1B602}" srcId="{5F483117-7082-408B-A172-BBD6D8A0D3B6}" destId="{E541BC02-B744-4520-9520-42E8BFB3C178}" srcOrd="0" destOrd="0" parTransId="{20F19BCA-33B1-4338-92E7-865F0CEE3F87}" sibTransId="{547F6787-C672-4304-8347-7F3BE169C123}"/>
    <dgm:cxn modelId="{C25FEEA1-5E34-4E51-9005-F42B074108C8}" srcId="{7E0309F5-89B1-476B-A4F2-83751D359304}" destId="{6AC2112A-40BC-46C9-ADFE-67D3ABE4C3BE}" srcOrd="0" destOrd="0" parTransId="{1A127066-6B48-4007-8536-C9C259991FB9}" sibTransId="{F1E19F98-68F0-4121-9E89-98B648C20D5F}"/>
    <dgm:cxn modelId="{E6143DA2-5EEF-4A73-8D8D-CB93944A9C1B}" type="presOf" srcId="{36253B9C-E56B-4137-B7C7-2F44E4835167}" destId="{36323F35-1F4F-46D4-88CA-84E50C329136}" srcOrd="1" destOrd="0" presId="urn:microsoft.com/office/officeart/2005/8/layout/hierarchy2"/>
    <dgm:cxn modelId="{425442A2-FCF7-4A7F-92EF-24D2FCCB0D30}" srcId="{1B8C6820-FA13-4863-B0B9-BFE25798CF7E}" destId="{F6A0651C-3D39-4949-8872-2A0B2D77122D}" srcOrd="0" destOrd="0" parTransId="{2CEBF63B-C260-41A3-975B-DB9DF49F1189}" sibTransId="{C23D4430-ADFB-4FFA-8910-647042E9C983}"/>
    <dgm:cxn modelId="{D9736EA2-27F0-4D4A-AF6A-59D5C6EF5869}" type="presOf" srcId="{78E3CBBC-25DC-408D-B1AC-8DC110FDDC99}" destId="{422A4A3A-F6EB-449A-8901-797127807065}" srcOrd="0" destOrd="0" presId="urn:microsoft.com/office/officeart/2005/8/layout/hierarchy2"/>
    <dgm:cxn modelId="{B9F4A6A3-F7A2-4927-8ECF-9480A41A2EE0}" type="presOf" srcId="{E541BC02-B744-4520-9520-42E8BFB3C178}" destId="{B52201AD-DF5C-4637-95C6-49BD23B1F50B}" srcOrd="0" destOrd="0" presId="urn:microsoft.com/office/officeart/2005/8/layout/hierarchy2"/>
    <dgm:cxn modelId="{15FF5CA7-A5B2-438C-9A25-78749AEF0AEE}" type="presOf" srcId="{0D025768-1A3D-4077-8E72-5D9A8F021D4F}" destId="{299DB7B5-147A-4B56-BD71-258F2E319699}" srcOrd="0" destOrd="0" presId="urn:microsoft.com/office/officeart/2005/8/layout/hierarchy2"/>
    <dgm:cxn modelId="{C7CCCFA9-2959-4B68-A337-A815EBAFE3F6}" type="presOf" srcId="{81EABEA9-DABF-434E-B793-BEEABE2D7523}" destId="{C798FBDF-6E1D-47DE-AFF4-FF2F3558A01E}" srcOrd="0" destOrd="0" presId="urn:microsoft.com/office/officeart/2005/8/layout/hierarchy2"/>
    <dgm:cxn modelId="{E28D64AA-CCA4-4EFC-852D-121B68852AF9}" type="presOf" srcId="{22B715A1-7759-4735-B789-02883D13EA1F}" destId="{158FC5B0-BD1E-485A-8B01-82528D1E9C2E}" srcOrd="0" destOrd="0" presId="urn:microsoft.com/office/officeart/2005/8/layout/hierarchy2"/>
    <dgm:cxn modelId="{22605CAD-E5C9-49FA-BF2D-C664061F6E8A}" type="presOf" srcId="{368C4A4E-9843-4B9F-8EA5-4A0D288025CA}" destId="{0B17F0EF-629B-4DBD-84BD-00B41E6F1813}" srcOrd="1" destOrd="0" presId="urn:microsoft.com/office/officeart/2005/8/layout/hierarchy2"/>
    <dgm:cxn modelId="{045A36AF-5C8F-44AA-A290-3D4BB83F650F}" type="presOf" srcId="{C32ED9B4-3E78-4DDC-A863-96136C9CB613}" destId="{2E1AA09E-0795-4042-9716-8110855F08CD}" srcOrd="1" destOrd="0" presId="urn:microsoft.com/office/officeart/2005/8/layout/hierarchy2"/>
    <dgm:cxn modelId="{9E17C3AF-1949-41A0-A0F6-050337C22A53}" type="presOf" srcId="{EEC87C26-609B-41BA-9470-9A5B7852CDBB}" destId="{9197BC2C-54DC-41F7-876A-9145A30175AB}" srcOrd="0" destOrd="0" presId="urn:microsoft.com/office/officeart/2005/8/layout/hierarchy2"/>
    <dgm:cxn modelId="{1C7662B1-0F9A-4673-856F-1A9A0EE4BA4F}" type="presOf" srcId="{5BBE2C78-9BEC-40B0-BB89-CF6F2F4F2ECA}" destId="{404790F7-88F4-4F67-95C3-B1053C19D084}" srcOrd="1" destOrd="0" presId="urn:microsoft.com/office/officeart/2005/8/layout/hierarchy2"/>
    <dgm:cxn modelId="{B3C4A3B1-24CD-49A8-BB9B-A0155365C43D}" type="presOf" srcId="{FCF8BD5F-24C7-4080-9F53-F57A45CB0DDE}" destId="{D350F211-560B-4623-A313-94CD6AC07C64}" srcOrd="1" destOrd="0" presId="urn:microsoft.com/office/officeart/2005/8/layout/hierarchy2"/>
    <dgm:cxn modelId="{7882AAB1-822E-4686-8097-68B9F5FB5D32}" type="presOf" srcId="{A8DD840D-CFB4-45B5-A276-7AFD7FF19C8F}" destId="{BE7BB172-278F-4B9D-AD2A-54BA10798C46}" srcOrd="0" destOrd="0" presId="urn:microsoft.com/office/officeart/2005/8/layout/hierarchy2"/>
    <dgm:cxn modelId="{D61CAEB2-6624-46A0-9DD5-6D4D4CF8C09B}" srcId="{A21BD7FC-8E46-4333-AB1D-7D7CE2ABE23E}" destId="{77B1BA3B-47DD-479A-9CF6-7E76361FA719}" srcOrd="0" destOrd="0" parTransId="{56D7570C-2C59-4619-998A-06FF107FFCF0}" sibTransId="{25C4C778-215A-4E37-91E0-4E4DD6819C40}"/>
    <dgm:cxn modelId="{8BD6C1B2-55B0-4CBC-BD31-4BCF6537FFF7}" type="presOf" srcId="{78368200-05F7-4E40-8A38-55CC74C00BFC}" destId="{FA7E10B4-455E-40D8-9094-7701C2446506}" srcOrd="0" destOrd="0" presId="urn:microsoft.com/office/officeart/2005/8/layout/hierarchy2"/>
    <dgm:cxn modelId="{109C38B3-F2CC-4B36-928A-3071AD889CFA}" type="presOf" srcId="{09AD0700-4407-4062-B022-6E592A0FA58A}" destId="{7FFC39D3-0546-4338-A03D-3BEA5A9F48D1}" srcOrd="0" destOrd="0" presId="urn:microsoft.com/office/officeart/2005/8/layout/hierarchy2"/>
    <dgm:cxn modelId="{72F0C3B3-B4B9-4CBF-B0ED-C440AD38A8D0}" type="presOf" srcId="{404C9C0E-A60B-4994-BA9E-B616E25A5A82}" destId="{F38E34CB-BA4E-43F2-AE76-ADDDC2F6AF8C}" srcOrd="1" destOrd="0" presId="urn:microsoft.com/office/officeart/2005/8/layout/hierarchy2"/>
    <dgm:cxn modelId="{E0A35CB4-D225-464C-9C9A-BB0961D82606}" type="presOf" srcId="{B90D5A3F-69EA-4A85-948A-9DB92E9E99F7}" destId="{B066832F-E973-445E-B1DE-6626F1620126}" srcOrd="0" destOrd="0" presId="urn:microsoft.com/office/officeart/2005/8/layout/hierarchy2"/>
    <dgm:cxn modelId="{50E1CFB6-0F2F-493A-B1E4-A79681E02CAC}" type="presOf" srcId="{E1DAC3A4-3C67-4C29-9909-C4505273F929}" destId="{28A887CD-3969-4793-8C57-5CE7B7B07B85}" srcOrd="0" destOrd="0" presId="urn:microsoft.com/office/officeart/2005/8/layout/hierarchy2"/>
    <dgm:cxn modelId="{41E4FBB6-8B64-4219-84DD-46121148D10D}" type="presOf" srcId="{56D7570C-2C59-4619-998A-06FF107FFCF0}" destId="{0D2A3688-2095-4DCC-9036-E817DCE0EB51}" srcOrd="1" destOrd="0" presId="urn:microsoft.com/office/officeart/2005/8/layout/hierarchy2"/>
    <dgm:cxn modelId="{F317C3B7-211C-4EB1-BEEB-C4E2219CA864}" type="presOf" srcId="{CAB965D5-11D4-4D85-86E3-B48CE2FB52FB}" destId="{BB5AFC37-3889-42CA-8944-D3A53523793F}" srcOrd="0" destOrd="0" presId="urn:microsoft.com/office/officeart/2005/8/layout/hierarchy2"/>
    <dgm:cxn modelId="{354208B9-DE10-40B7-ACDF-96DA5EDA4C8D}" type="presOf" srcId="{28C9985C-DA3C-4393-BC4C-8A33A9073F70}" destId="{2F1E8219-B659-41F3-AE9B-2584FF7876EF}" srcOrd="0" destOrd="0" presId="urn:microsoft.com/office/officeart/2005/8/layout/hierarchy2"/>
    <dgm:cxn modelId="{D25BA2B9-F582-474B-B483-C3D1CFB384AA}" type="presOf" srcId="{8079D0D9-A099-4D09-B709-073133AB03F8}" destId="{A90AE215-7FCE-4189-880B-83DF33CBADA3}" srcOrd="0" destOrd="0" presId="urn:microsoft.com/office/officeart/2005/8/layout/hierarchy2"/>
    <dgm:cxn modelId="{C45D56BA-2CCF-4E47-BEF8-FE91204A00DA}" type="presOf" srcId="{F813F40D-B438-4529-9CC3-1C537F085921}" destId="{E39340D0-33D6-4FEE-A628-BCB11ECA24D7}" srcOrd="1" destOrd="0" presId="urn:microsoft.com/office/officeart/2005/8/layout/hierarchy2"/>
    <dgm:cxn modelId="{0D4F9CBA-87CA-461A-A278-7BB18DE391B1}" type="presOf" srcId="{49387588-CAFF-4D97-9D6C-A62D6873F066}" destId="{70B0185A-10A5-4082-9EEB-726C2142B87F}" srcOrd="1" destOrd="0" presId="urn:microsoft.com/office/officeart/2005/8/layout/hierarchy2"/>
    <dgm:cxn modelId="{8E7904BB-8460-42B9-A41C-F4539F3238E5}" type="presOf" srcId="{84125FF2-0C17-4105-896D-FFA8DA9B4B23}" destId="{D9323FB4-687C-4C65-9470-F1A71F51C4C7}" srcOrd="0" destOrd="0" presId="urn:microsoft.com/office/officeart/2005/8/layout/hierarchy2"/>
    <dgm:cxn modelId="{04FD1BBC-959D-4628-A9FC-15EE36A2A665}" type="presOf" srcId="{CD804DD5-43ED-4AE6-BBAA-F05C5AAA60CB}" destId="{959143E3-7593-4F88-B3E0-2F1542C0EE38}" srcOrd="1" destOrd="0" presId="urn:microsoft.com/office/officeart/2005/8/layout/hierarchy2"/>
    <dgm:cxn modelId="{2AFA19BD-65FD-46DE-AD27-6BB29881F41B}" type="presOf" srcId="{BFE18D0B-7C5E-4160-95D0-B65118D6A6FF}" destId="{1DBCEC87-5760-4266-8E86-CC6FC7973A3C}" srcOrd="0" destOrd="0" presId="urn:microsoft.com/office/officeart/2005/8/layout/hierarchy2"/>
    <dgm:cxn modelId="{D67E53BD-3DF1-4B6B-AAC3-6DF46D940C52}" srcId="{5AC49862-522C-4072-A2EA-F8B0338631E2}" destId="{369CBC4C-9F54-4403-B0CB-47F11AD6A209}" srcOrd="0" destOrd="0" parTransId="{36253B9C-E56B-4137-B7C7-2F44E4835167}" sibTransId="{EE4917D1-1F0C-4BD7-8F6A-CED0E0FE797A}"/>
    <dgm:cxn modelId="{A0D743C0-D4F4-440D-BB52-D93994FB549B}" srcId="{78E3CBBC-25DC-408D-B1AC-8DC110FDDC99}" destId="{ADD2637B-8031-41B7-AE54-5A859BE41CB1}" srcOrd="0" destOrd="0" parTransId="{A8DD840D-CFB4-45B5-A276-7AFD7FF19C8F}" sibTransId="{C16EBD67-BE2B-468E-B117-C32E700492E6}"/>
    <dgm:cxn modelId="{44263AC6-6B5E-4444-81C9-92BA94C145A3}" type="presOf" srcId="{5AC49862-522C-4072-A2EA-F8B0338631E2}" destId="{0C4019F4-33C5-40BC-8599-8F1DAB8B9326}" srcOrd="0" destOrd="0" presId="urn:microsoft.com/office/officeart/2005/8/layout/hierarchy2"/>
    <dgm:cxn modelId="{FC77C1C6-4E58-4178-B00A-BAC7CC431AD6}" type="presOf" srcId="{F6DE747A-5594-471C-A3D7-E3F9766A12FE}" destId="{6C07057A-0993-4A4C-A1FC-7E3C90630CF5}" srcOrd="0" destOrd="0" presId="urn:microsoft.com/office/officeart/2005/8/layout/hierarchy2"/>
    <dgm:cxn modelId="{3164A9CC-3E5B-4AE4-B05B-E2E2865A4A8E}" type="presOf" srcId="{1748CFBD-BBFC-45C0-9959-34500A34ED2C}" destId="{1FF5ED4C-2094-42E5-AB19-186AD771CB63}" srcOrd="0" destOrd="0" presId="urn:microsoft.com/office/officeart/2005/8/layout/hierarchy2"/>
    <dgm:cxn modelId="{3B2080CE-9F57-45E8-B347-A800F6E37445}" type="presOf" srcId="{F813F40D-B438-4529-9CC3-1C537F085921}" destId="{9E92B4C6-4361-4131-86BB-BDACFCA82FA4}" srcOrd="0" destOrd="0" presId="urn:microsoft.com/office/officeart/2005/8/layout/hierarchy2"/>
    <dgm:cxn modelId="{746F8AD0-3161-4EE6-8473-83756F34714D}" type="presOf" srcId="{59FE62FA-3E7F-4877-B952-923D1702E699}" destId="{0A574E65-26AD-4153-ACFA-B6508D80ED8C}" srcOrd="0" destOrd="0" presId="urn:microsoft.com/office/officeart/2005/8/layout/hierarchy2"/>
    <dgm:cxn modelId="{57807CD1-DC6C-41D2-B019-CDA815C58DBE}" srcId="{78E3CBBC-25DC-408D-B1AC-8DC110FDDC99}" destId="{9F8524B7-42DF-4BE1-B47C-FF48D482776F}" srcOrd="2" destOrd="0" parTransId="{73B82507-9FA1-4CF3-B951-408B81A46887}" sibTransId="{1E608B75-ED4A-4B0E-93A1-1C32AF1B92FF}"/>
    <dgm:cxn modelId="{A26026D4-5609-49FD-9CF8-307126BB44BA}" type="presOf" srcId="{E7409D3A-794D-40A7-9CB4-F996FF93D0C5}" destId="{B857DDB7-FDF2-4AB5-B907-54C4D3C617BF}" srcOrd="0" destOrd="0" presId="urn:microsoft.com/office/officeart/2005/8/layout/hierarchy2"/>
    <dgm:cxn modelId="{766134D4-B8CC-4CAE-A641-F3336399646B}" srcId="{AE818FA7-66FE-453C-A51E-B9069AC414D3}" destId="{30FDD53A-8D16-491D-A15F-B745CF4D9439}" srcOrd="0" destOrd="0" parTransId="{09AD0700-4407-4062-B022-6E592A0FA58A}" sibTransId="{8EC1E3E9-4563-4D45-963E-D16F3E32323E}"/>
    <dgm:cxn modelId="{13DDC4D4-F0CB-46FD-A5F8-EAE08CA6FB5C}" type="presOf" srcId="{B92986B6-4AA0-48FB-9F3E-82E88DF002A6}" destId="{D465B9D5-76C5-460F-B75F-1EEBB1AEF4BD}" srcOrd="0" destOrd="0" presId="urn:microsoft.com/office/officeart/2005/8/layout/hierarchy2"/>
    <dgm:cxn modelId="{69F859D7-60DC-4D4B-8240-079439F5FE36}" srcId="{65B1C260-E323-44F8-868E-26546A3A08C1}" destId="{72A43E19-E6BA-4DAD-8A9D-5449A1BA97AE}" srcOrd="0" destOrd="0" parTransId="{404C9C0E-A60B-4994-BA9E-B616E25A5A82}" sibTransId="{F18CB938-577F-40BA-AB55-1EA3EEF94FA6}"/>
    <dgm:cxn modelId="{F98528D9-3AA0-4124-A127-631B88560FEA}" type="presOf" srcId="{72E59651-AF70-4217-97EC-61A12291FE7E}" destId="{C9B95468-A4CE-4BAB-9D89-2C6B1A0ADB22}" srcOrd="0" destOrd="0" presId="urn:microsoft.com/office/officeart/2005/8/layout/hierarchy2"/>
    <dgm:cxn modelId="{4F5A86DA-C111-49BA-ADBD-5CBBD46D86E2}" type="presOf" srcId="{46EC3575-2C61-4F94-94CB-9246DD8E0DF6}" destId="{98A33CD7-77E9-4331-856C-70FB910FFA5F}" srcOrd="0" destOrd="0" presId="urn:microsoft.com/office/officeart/2005/8/layout/hierarchy2"/>
    <dgm:cxn modelId="{2D9B29E0-FF33-4B64-AA15-A04E6924CE71}" type="presOf" srcId="{8106C1FB-2EB3-4CCB-A285-B12E0B5CA849}" destId="{28D930D6-D1CC-4AEA-BF56-1A0057FC6818}" srcOrd="0" destOrd="0" presId="urn:microsoft.com/office/officeart/2005/8/layout/hierarchy2"/>
    <dgm:cxn modelId="{071163E3-7908-43BC-BB64-9403FA488757}" type="presOf" srcId="{65132BBA-6634-4763-9A4C-927007D68174}" destId="{2D438221-B6BC-494F-B6B9-267AB2380C1E}" srcOrd="1" destOrd="0" presId="urn:microsoft.com/office/officeart/2005/8/layout/hierarchy2"/>
    <dgm:cxn modelId="{949FA1E5-E8FF-447B-8810-920FA2A1D3E9}" type="presOf" srcId="{69514321-14FF-45DB-85E6-7557B241902E}" destId="{004785DF-F189-4494-91D0-C897BF691894}" srcOrd="0" destOrd="0" presId="urn:microsoft.com/office/officeart/2005/8/layout/hierarchy2"/>
    <dgm:cxn modelId="{DD74AEE6-F9DC-497E-9ABE-9F5775738CE3}" type="presOf" srcId="{65B1C260-E323-44F8-868E-26546A3A08C1}" destId="{FDF73456-B5D7-406E-9142-FB46C4CA82EA}" srcOrd="0" destOrd="0" presId="urn:microsoft.com/office/officeart/2005/8/layout/hierarchy2"/>
    <dgm:cxn modelId="{1E8FE8E7-3457-4DDC-9AC3-C60BDDD82667}" type="presOf" srcId="{36253B9C-E56B-4137-B7C7-2F44E4835167}" destId="{70818E4E-65CA-4391-A769-C16EF8DF3D1E}" srcOrd="0" destOrd="0" presId="urn:microsoft.com/office/officeart/2005/8/layout/hierarchy2"/>
    <dgm:cxn modelId="{86CD90EA-AA53-42D8-A6C8-D65E81047630}" srcId="{0D025768-1A3D-4077-8E72-5D9A8F021D4F}" destId="{5F483117-7082-408B-A172-BBD6D8A0D3B6}" srcOrd="0" destOrd="0" parTransId="{77557A6E-E1E3-401F-A22D-8636B99DD043}" sibTransId="{B05F5CAB-39D4-4BB1-A3AC-7F96AC638169}"/>
    <dgm:cxn modelId="{6A5DB5EB-F8C8-464B-8CA0-8F4FDCF4FB4F}" type="presOf" srcId="{B90D5A3F-69EA-4A85-948A-9DB92E9E99F7}" destId="{779E3B06-32E7-47D6-85AF-9F0DB308445D}" srcOrd="1" destOrd="0" presId="urn:microsoft.com/office/officeart/2005/8/layout/hierarchy2"/>
    <dgm:cxn modelId="{8C6A31EC-C254-4399-918E-70C73A32379C}" type="presOf" srcId="{A2987DE3-4A5A-4FAF-B1C6-BFE2E348652F}" destId="{3A179D8B-21C3-4C7C-8385-1F895D8D67B5}" srcOrd="0" destOrd="0" presId="urn:microsoft.com/office/officeart/2005/8/layout/hierarchy2"/>
    <dgm:cxn modelId="{6C895FEC-A2A4-413D-B384-D92C4F0F43A2}" type="presOf" srcId="{77557A6E-E1E3-401F-A22D-8636B99DD043}" destId="{2885D908-1890-4DF2-AA56-5F58E916BA5F}" srcOrd="0" destOrd="0" presId="urn:microsoft.com/office/officeart/2005/8/layout/hierarchy2"/>
    <dgm:cxn modelId="{CE3BA2EF-5F4A-43BB-BEE8-ABC08673A1A5}" type="presOf" srcId="{EF17F899-03B0-4F10-90A9-5BB7B299C710}" destId="{BB0A11FC-F935-4893-9E1A-A94FFAC4AE10}" srcOrd="0" destOrd="0" presId="urn:microsoft.com/office/officeart/2005/8/layout/hierarchy2"/>
    <dgm:cxn modelId="{BBDA59F0-44C3-42E2-88EE-6921D6AF67D8}" type="presOf" srcId="{7A0B60A3-D761-4EFD-96BB-E14801E35819}" destId="{31355AB0-A5F0-43E2-B52D-E885F45D3B98}" srcOrd="1" destOrd="0" presId="urn:microsoft.com/office/officeart/2005/8/layout/hierarchy2"/>
    <dgm:cxn modelId="{8ACA98F1-6768-4BEA-B111-E02209D815BC}" type="presOf" srcId="{94F96DEC-6E2B-456C-A551-2A26B53E8A43}" destId="{1779911C-962E-4AD6-BB14-20D103EF2E6B}" srcOrd="1" destOrd="0" presId="urn:microsoft.com/office/officeart/2005/8/layout/hierarchy2"/>
    <dgm:cxn modelId="{CB693BF2-DC3E-464F-B212-D346974FF06B}" srcId="{D1358A50-4042-4E18-9F1B-8B07C5F7CBDE}" destId="{C82CC8D5-C05B-40A8-8393-3A496A624C8A}" srcOrd="0" destOrd="0" parTransId="{B5021C20-6736-4C2D-BF70-957FD4816D32}" sibTransId="{01B2943A-3ECE-405A-8222-632007E7C92D}"/>
    <dgm:cxn modelId="{66B2D2F2-EFCB-487A-9482-46A6177667E9}" srcId="{78E3CBBC-25DC-408D-B1AC-8DC110FDDC99}" destId="{D324B81B-FE4A-41CC-901E-876762FC7533}" srcOrd="1" destOrd="0" parTransId="{BFE18D0B-7C5E-4160-95D0-B65118D6A6FF}" sibTransId="{0A2DED88-F6B6-4D8B-9972-03DBBC4ABEFC}"/>
    <dgm:cxn modelId="{050406FA-1AA8-4907-A04D-C15E73B4ACE8}" srcId="{F6A0651C-3D39-4949-8872-2A0B2D77122D}" destId="{8106C1FB-2EB3-4CCB-A285-B12E0B5CA849}" srcOrd="0" destOrd="0" parTransId="{E7409D3A-794D-40A7-9CB4-F996FF93D0C5}" sibTransId="{5BBCEFD5-9093-41E6-BD2E-2A2533632F88}"/>
    <dgm:cxn modelId="{352E0AFB-24CD-4D76-9455-0CA91CDBEA08}" srcId="{30FDD53A-8D16-491D-A15F-B745CF4D9439}" destId="{EF17F899-03B0-4F10-90A9-5BB7B299C710}" srcOrd="0" destOrd="0" parTransId="{F6DE747A-5594-471C-A3D7-E3F9766A12FE}" sibTransId="{A14519A4-DF6F-4345-97BE-216D39FA6429}"/>
    <dgm:cxn modelId="{6C7442FC-0890-40A7-B91E-6AAA605C1015}" type="presOf" srcId="{2CEBF63B-C260-41A3-975B-DB9DF49F1189}" destId="{37F719F0-2622-48BB-AC61-9B4798BB4589}" srcOrd="1" destOrd="0" presId="urn:microsoft.com/office/officeart/2005/8/layout/hierarchy2"/>
    <dgm:cxn modelId="{8CBF69FD-1143-4BBA-96F6-D64D6D1A272C}" type="presOf" srcId="{F6A0651C-3D39-4949-8872-2A0B2D77122D}" destId="{58126035-A1CC-4804-BB45-A7E54E1B14D3}" srcOrd="0" destOrd="0" presId="urn:microsoft.com/office/officeart/2005/8/layout/hierarchy2"/>
    <dgm:cxn modelId="{AAB78A98-C077-4DD2-BB2F-744D0A3861A3}" type="presParOf" srcId="{A90AE215-7FCE-4189-880B-83DF33CBADA3}" destId="{B9A0AF61-12D9-4ED8-8893-6F6BFCA920B5}" srcOrd="0" destOrd="0" presId="urn:microsoft.com/office/officeart/2005/8/layout/hierarchy2"/>
    <dgm:cxn modelId="{86C4EB08-2349-4488-A416-E8245AED3146}" type="presParOf" srcId="{B9A0AF61-12D9-4ED8-8893-6F6BFCA920B5}" destId="{D92A483E-584E-4BE9-9E81-16EB31341344}" srcOrd="0" destOrd="0" presId="urn:microsoft.com/office/officeart/2005/8/layout/hierarchy2"/>
    <dgm:cxn modelId="{156EDD64-7403-4604-884D-20FE0F228514}" type="presParOf" srcId="{B9A0AF61-12D9-4ED8-8893-6F6BFCA920B5}" destId="{5F8FEBD3-2825-4F65-81FA-4B7298EBA325}" srcOrd="1" destOrd="0" presId="urn:microsoft.com/office/officeart/2005/8/layout/hierarchy2"/>
    <dgm:cxn modelId="{771D3E1E-D059-4FF1-86C1-ED9C6B0C6052}" type="presParOf" srcId="{5F8FEBD3-2825-4F65-81FA-4B7298EBA325}" destId="{BC67764E-F868-4BC7-88D4-3FB4FCFB2B03}" srcOrd="0" destOrd="0" presId="urn:microsoft.com/office/officeart/2005/8/layout/hierarchy2"/>
    <dgm:cxn modelId="{1377AEF2-CFF1-4DD4-92CE-9F1743797CF2}" type="presParOf" srcId="{BC67764E-F868-4BC7-88D4-3FB4FCFB2B03}" destId="{37F719F0-2622-48BB-AC61-9B4798BB4589}" srcOrd="0" destOrd="0" presId="urn:microsoft.com/office/officeart/2005/8/layout/hierarchy2"/>
    <dgm:cxn modelId="{21E40EE8-6BEF-4F4E-9400-41CC3D636432}" type="presParOf" srcId="{5F8FEBD3-2825-4F65-81FA-4B7298EBA325}" destId="{F2EFD06C-BA8B-4287-A5C3-FFE6B72D9E9B}" srcOrd="1" destOrd="0" presId="urn:microsoft.com/office/officeart/2005/8/layout/hierarchy2"/>
    <dgm:cxn modelId="{7E31C392-5327-4F62-9B0E-8F78231158AE}" type="presParOf" srcId="{F2EFD06C-BA8B-4287-A5C3-FFE6B72D9E9B}" destId="{58126035-A1CC-4804-BB45-A7E54E1B14D3}" srcOrd="0" destOrd="0" presId="urn:microsoft.com/office/officeart/2005/8/layout/hierarchy2"/>
    <dgm:cxn modelId="{B8A97AA9-DA76-4E56-A5E1-C61FA46386ED}" type="presParOf" srcId="{F2EFD06C-BA8B-4287-A5C3-FFE6B72D9E9B}" destId="{0DE5F125-73EF-4B4E-AE80-9CB85D41B86C}" srcOrd="1" destOrd="0" presId="urn:microsoft.com/office/officeart/2005/8/layout/hierarchy2"/>
    <dgm:cxn modelId="{7782D219-00BD-46F3-A911-C00FF69B6D8E}" type="presParOf" srcId="{0DE5F125-73EF-4B4E-AE80-9CB85D41B86C}" destId="{B857DDB7-FDF2-4AB5-B907-54C4D3C617BF}" srcOrd="0" destOrd="0" presId="urn:microsoft.com/office/officeart/2005/8/layout/hierarchy2"/>
    <dgm:cxn modelId="{2C29E628-5471-4510-BFF4-A04818631D4C}" type="presParOf" srcId="{B857DDB7-FDF2-4AB5-B907-54C4D3C617BF}" destId="{784A4196-5237-4BCF-9946-8FF02AEA1C2B}" srcOrd="0" destOrd="0" presId="urn:microsoft.com/office/officeart/2005/8/layout/hierarchy2"/>
    <dgm:cxn modelId="{04517A60-B831-4988-ACE6-9B6EBFE83D00}" type="presParOf" srcId="{0DE5F125-73EF-4B4E-AE80-9CB85D41B86C}" destId="{F0BD5000-1584-4E63-8441-F8620E3BBCB2}" srcOrd="1" destOrd="0" presId="urn:microsoft.com/office/officeart/2005/8/layout/hierarchy2"/>
    <dgm:cxn modelId="{26CE6E73-FB84-4F2B-B0B2-6055F25985AA}" type="presParOf" srcId="{F0BD5000-1584-4E63-8441-F8620E3BBCB2}" destId="{28D930D6-D1CC-4AEA-BF56-1A0057FC6818}" srcOrd="0" destOrd="0" presId="urn:microsoft.com/office/officeart/2005/8/layout/hierarchy2"/>
    <dgm:cxn modelId="{CF044C26-FE0A-4546-B81E-CE80CF96F104}" type="presParOf" srcId="{F0BD5000-1584-4E63-8441-F8620E3BBCB2}" destId="{8772D3F7-1B00-4BDC-B731-E68C4E7FB48A}" srcOrd="1" destOrd="0" presId="urn:microsoft.com/office/officeart/2005/8/layout/hierarchy2"/>
    <dgm:cxn modelId="{FE762E10-DE4E-4377-A395-7FAFE153E3EA}" type="presParOf" srcId="{8772D3F7-1B00-4BDC-B731-E68C4E7FB48A}" destId="{D465B9D5-76C5-460F-B75F-1EEBB1AEF4BD}" srcOrd="0" destOrd="0" presId="urn:microsoft.com/office/officeart/2005/8/layout/hierarchy2"/>
    <dgm:cxn modelId="{1E815E99-B363-4DFE-93AB-09E2B3F7836A}" type="presParOf" srcId="{D465B9D5-76C5-460F-B75F-1EEBB1AEF4BD}" destId="{D2D958F5-3D1D-4FD2-856F-1CA136F431C3}" srcOrd="0" destOrd="0" presId="urn:microsoft.com/office/officeart/2005/8/layout/hierarchy2"/>
    <dgm:cxn modelId="{46118A11-97FA-468B-AEA0-B47D1FF9F062}" type="presParOf" srcId="{8772D3F7-1B00-4BDC-B731-E68C4E7FB48A}" destId="{9F0763F0-8318-4528-BCA7-40D60D0985CE}" srcOrd="1" destOrd="0" presId="urn:microsoft.com/office/officeart/2005/8/layout/hierarchy2"/>
    <dgm:cxn modelId="{AF5E96E4-00F4-439F-9BCF-EC8159C05462}" type="presParOf" srcId="{9F0763F0-8318-4528-BCA7-40D60D0985CE}" destId="{C33C51E7-9AC2-4AF1-AB1C-DF47A3951776}" srcOrd="0" destOrd="0" presId="urn:microsoft.com/office/officeart/2005/8/layout/hierarchy2"/>
    <dgm:cxn modelId="{52C69193-3E4F-4EC1-9C66-D51B56B1EE85}" type="presParOf" srcId="{9F0763F0-8318-4528-BCA7-40D60D0985CE}" destId="{E9EC60AE-EF84-4335-9362-585468196325}" srcOrd="1" destOrd="0" presId="urn:microsoft.com/office/officeart/2005/8/layout/hierarchy2"/>
    <dgm:cxn modelId="{E2C2D0E8-5173-4AD8-BC16-72FB8D2D7B23}" type="presParOf" srcId="{E9EC60AE-EF84-4335-9362-585468196325}" destId="{7FFC39D3-0546-4338-A03D-3BEA5A9F48D1}" srcOrd="0" destOrd="0" presId="urn:microsoft.com/office/officeart/2005/8/layout/hierarchy2"/>
    <dgm:cxn modelId="{EDD739E4-CB97-4B8C-B4E4-97AA56D1310B}" type="presParOf" srcId="{7FFC39D3-0546-4338-A03D-3BEA5A9F48D1}" destId="{FA58F736-FE1E-4E5B-BA3D-4764D635592C}" srcOrd="0" destOrd="0" presId="urn:microsoft.com/office/officeart/2005/8/layout/hierarchy2"/>
    <dgm:cxn modelId="{D50AC673-1927-4E37-BED3-C0A93AD2928C}" type="presParOf" srcId="{E9EC60AE-EF84-4335-9362-585468196325}" destId="{8911811B-B779-4262-A26E-D5F3060F2669}" srcOrd="1" destOrd="0" presId="urn:microsoft.com/office/officeart/2005/8/layout/hierarchy2"/>
    <dgm:cxn modelId="{9A1F0013-7D7A-4CD1-A78D-0C0F9EF17999}" type="presParOf" srcId="{8911811B-B779-4262-A26E-D5F3060F2669}" destId="{DEAE5233-53DC-48B0-9092-BF78F921775F}" srcOrd="0" destOrd="0" presId="urn:microsoft.com/office/officeart/2005/8/layout/hierarchy2"/>
    <dgm:cxn modelId="{2F73F908-6B99-46F7-82FE-383AFE2CB300}" type="presParOf" srcId="{8911811B-B779-4262-A26E-D5F3060F2669}" destId="{A944389F-D35C-46DA-918C-76260E547621}" srcOrd="1" destOrd="0" presId="urn:microsoft.com/office/officeart/2005/8/layout/hierarchy2"/>
    <dgm:cxn modelId="{B6E76A12-1F6C-4A55-8CF8-D3C066D8B150}" type="presParOf" srcId="{A944389F-D35C-46DA-918C-76260E547621}" destId="{6C07057A-0993-4A4C-A1FC-7E3C90630CF5}" srcOrd="0" destOrd="0" presId="urn:microsoft.com/office/officeart/2005/8/layout/hierarchy2"/>
    <dgm:cxn modelId="{836496DE-BCF9-4B6F-8F2D-A3880B637A52}" type="presParOf" srcId="{6C07057A-0993-4A4C-A1FC-7E3C90630CF5}" destId="{38E862A5-037C-4588-B0D5-BEF2BB5800AE}" srcOrd="0" destOrd="0" presId="urn:microsoft.com/office/officeart/2005/8/layout/hierarchy2"/>
    <dgm:cxn modelId="{56E19695-63DA-4624-9364-1A26B7A51DDC}" type="presParOf" srcId="{A944389F-D35C-46DA-918C-76260E547621}" destId="{4F98A28D-F4FB-4F68-BF21-E50A1AB85B4E}" srcOrd="1" destOrd="0" presId="urn:microsoft.com/office/officeart/2005/8/layout/hierarchy2"/>
    <dgm:cxn modelId="{95876349-2ACC-4074-A957-D8E0997FA372}" type="presParOf" srcId="{4F98A28D-F4FB-4F68-BF21-E50A1AB85B4E}" destId="{BB0A11FC-F935-4893-9E1A-A94FFAC4AE10}" srcOrd="0" destOrd="0" presId="urn:microsoft.com/office/officeart/2005/8/layout/hierarchy2"/>
    <dgm:cxn modelId="{25FC150A-7EED-439C-892C-647816769353}" type="presParOf" srcId="{4F98A28D-F4FB-4F68-BF21-E50A1AB85B4E}" destId="{9C146043-3B3F-4DC2-A8E1-1ADA5BC92AC0}" srcOrd="1" destOrd="0" presId="urn:microsoft.com/office/officeart/2005/8/layout/hierarchy2"/>
    <dgm:cxn modelId="{9A325859-420F-4300-AC6C-FB0919391D12}" type="presParOf" srcId="{9C146043-3B3F-4DC2-A8E1-1ADA5BC92AC0}" destId="{79E0999D-89C1-4FE8-831F-E869D069138D}" srcOrd="0" destOrd="0" presId="urn:microsoft.com/office/officeart/2005/8/layout/hierarchy2"/>
    <dgm:cxn modelId="{CE71A225-CB94-4BC4-A4D9-3B7C57CB88C0}" type="presParOf" srcId="{79E0999D-89C1-4FE8-831F-E869D069138D}" destId="{2E1AA09E-0795-4042-9716-8110855F08CD}" srcOrd="0" destOrd="0" presId="urn:microsoft.com/office/officeart/2005/8/layout/hierarchy2"/>
    <dgm:cxn modelId="{3438CFE5-1A5E-4ECF-A8B2-36C07D8AB2C6}" type="presParOf" srcId="{9C146043-3B3F-4DC2-A8E1-1ADA5BC92AC0}" destId="{E5F47605-5820-4B59-8890-5F69651204C9}" srcOrd="1" destOrd="0" presId="urn:microsoft.com/office/officeart/2005/8/layout/hierarchy2"/>
    <dgm:cxn modelId="{1AF0E96C-F298-429B-9821-C39B4D51BAB9}" type="presParOf" srcId="{E5F47605-5820-4B59-8890-5F69651204C9}" destId="{95C61D53-300C-4DE4-870C-DD6C24935C0C}" srcOrd="0" destOrd="0" presId="urn:microsoft.com/office/officeart/2005/8/layout/hierarchy2"/>
    <dgm:cxn modelId="{FA78DA07-C438-4013-AC67-CEA8C3CE65E8}" type="presParOf" srcId="{E5F47605-5820-4B59-8890-5F69651204C9}" destId="{06D664A1-39A3-4862-83B0-3EAFBDF5B73F}" srcOrd="1" destOrd="0" presId="urn:microsoft.com/office/officeart/2005/8/layout/hierarchy2"/>
    <dgm:cxn modelId="{7C449601-8DFB-45B2-B0DE-4EE2E3AA065B}" type="presParOf" srcId="{06D664A1-39A3-4862-83B0-3EAFBDF5B73F}" destId="{BB5AFC37-3889-42CA-8944-D3A53523793F}" srcOrd="0" destOrd="0" presId="urn:microsoft.com/office/officeart/2005/8/layout/hierarchy2"/>
    <dgm:cxn modelId="{68A0F628-1DA0-4C7D-B751-B2E4A81108F8}" type="presParOf" srcId="{BB5AFC37-3889-42CA-8944-D3A53523793F}" destId="{3B823CFA-19C5-4D97-A446-D53C1ED7110C}" srcOrd="0" destOrd="0" presId="urn:microsoft.com/office/officeart/2005/8/layout/hierarchy2"/>
    <dgm:cxn modelId="{902D468D-B4FA-4BD2-BB00-FD9975486374}" type="presParOf" srcId="{06D664A1-39A3-4862-83B0-3EAFBDF5B73F}" destId="{1F099DF4-C880-4EE5-8B5F-7D1039A787FB}" srcOrd="1" destOrd="0" presId="urn:microsoft.com/office/officeart/2005/8/layout/hierarchy2"/>
    <dgm:cxn modelId="{28FD5ECA-F054-46D8-8DBB-C78841DE2771}" type="presParOf" srcId="{1F099DF4-C880-4EE5-8B5F-7D1039A787FB}" destId="{158FC5B0-BD1E-485A-8B01-82528D1E9C2E}" srcOrd="0" destOrd="0" presId="urn:microsoft.com/office/officeart/2005/8/layout/hierarchy2"/>
    <dgm:cxn modelId="{10A41293-ADED-43FB-8D06-05FA58FDBE99}" type="presParOf" srcId="{1F099DF4-C880-4EE5-8B5F-7D1039A787FB}" destId="{F0111608-D978-492C-8BBF-C108CDEE80D9}" srcOrd="1" destOrd="0" presId="urn:microsoft.com/office/officeart/2005/8/layout/hierarchy2"/>
    <dgm:cxn modelId="{E09E0980-684D-48E7-9AB9-D489B5B2B024}" type="presParOf" srcId="{5F8FEBD3-2825-4F65-81FA-4B7298EBA325}" destId="{91D01C26-9709-41EC-A65C-3D106AAC4F07}" srcOrd="2" destOrd="0" presId="urn:microsoft.com/office/officeart/2005/8/layout/hierarchy2"/>
    <dgm:cxn modelId="{E7576CDD-33C8-4FD9-9003-50A662525024}" type="presParOf" srcId="{91D01C26-9709-41EC-A65C-3D106AAC4F07}" destId="{CA62244B-2FF4-4E67-A35C-072FD368DE55}" srcOrd="0" destOrd="0" presId="urn:microsoft.com/office/officeart/2005/8/layout/hierarchy2"/>
    <dgm:cxn modelId="{C6BBE38D-3AE5-4AB1-9C0F-E47397194940}" type="presParOf" srcId="{5F8FEBD3-2825-4F65-81FA-4B7298EBA325}" destId="{122107F8-298A-4364-822B-69D705973519}" srcOrd="3" destOrd="0" presId="urn:microsoft.com/office/officeart/2005/8/layout/hierarchy2"/>
    <dgm:cxn modelId="{2DACCAC0-1DB0-4970-AE2B-EDE7DBF26D43}" type="presParOf" srcId="{122107F8-298A-4364-822B-69D705973519}" destId="{422A4A3A-F6EB-449A-8901-797127807065}" srcOrd="0" destOrd="0" presId="urn:microsoft.com/office/officeart/2005/8/layout/hierarchy2"/>
    <dgm:cxn modelId="{90E52F61-3A73-4023-B36F-9001C5692FBF}" type="presParOf" srcId="{122107F8-298A-4364-822B-69D705973519}" destId="{60F7166B-6032-4503-86E1-B08904426178}" srcOrd="1" destOrd="0" presId="urn:microsoft.com/office/officeart/2005/8/layout/hierarchy2"/>
    <dgm:cxn modelId="{19B9C4C9-E1DD-4CF0-A85A-9C94FE100D7E}" type="presParOf" srcId="{60F7166B-6032-4503-86E1-B08904426178}" destId="{BE7BB172-278F-4B9D-AD2A-54BA10798C46}" srcOrd="0" destOrd="0" presId="urn:microsoft.com/office/officeart/2005/8/layout/hierarchy2"/>
    <dgm:cxn modelId="{07014B88-B312-46D1-AA5E-F977EA9E5C58}" type="presParOf" srcId="{BE7BB172-278F-4B9D-AD2A-54BA10798C46}" destId="{9B9A8B3B-C716-4EAA-95F2-651252168522}" srcOrd="0" destOrd="0" presId="urn:microsoft.com/office/officeart/2005/8/layout/hierarchy2"/>
    <dgm:cxn modelId="{DBA9AB94-751E-4716-BB12-B245F417844D}" type="presParOf" srcId="{60F7166B-6032-4503-86E1-B08904426178}" destId="{58A52F41-0822-4AD7-8973-F3E6914FAC60}" srcOrd="1" destOrd="0" presId="urn:microsoft.com/office/officeart/2005/8/layout/hierarchy2"/>
    <dgm:cxn modelId="{46A409CD-97B7-4959-B7A7-1FECCE0B4FBB}" type="presParOf" srcId="{58A52F41-0822-4AD7-8973-F3E6914FAC60}" destId="{0D28B1C1-D54B-4DB5-9F81-53E245C42E6F}" srcOrd="0" destOrd="0" presId="urn:microsoft.com/office/officeart/2005/8/layout/hierarchy2"/>
    <dgm:cxn modelId="{BC225976-A3E1-4D78-8CC2-C1D878398C2D}" type="presParOf" srcId="{58A52F41-0822-4AD7-8973-F3E6914FAC60}" destId="{149B8014-483B-4B26-B150-288B57AF969B}" srcOrd="1" destOrd="0" presId="urn:microsoft.com/office/officeart/2005/8/layout/hierarchy2"/>
    <dgm:cxn modelId="{1E306B8B-9CEF-4E36-A730-8FA15B7364AE}" type="presParOf" srcId="{149B8014-483B-4B26-B150-288B57AF969B}" destId="{C880F6F0-42D8-4F70-8552-49AAF1D51B85}" srcOrd="0" destOrd="0" presId="urn:microsoft.com/office/officeart/2005/8/layout/hierarchy2"/>
    <dgm:cxn modelId="{1FE605BB-D016-4A82-97DC-7D9286516E81}" type="presParOf" srcId="{C880F6F0-42D8-4F70-8552-49AAF1D51B85}" destId="{404790F7-88F4-4F67-95C3-B1053C19D084}" srcOrd="0" destOrd="0" presId="urn:microsoft.com/office/officeart/2005/8/layout/hierarchy2"/>
    <dgm:cxn modelId="{BD14A5C9-B62E-4139-86FE-493F15B9F87A}" type="presParOf" srcId="{149B8014-483B-4B26-B150-288B57AF969B}" destId="{4B284A8A-BCC9-4EF6-974A-232D0B97CF71}" srcOrd="1" destOrd="0" presId="urn:microsoft.com/office/officeart/2005/8/layout/hierarchy2"/>
    <dgm:cxn modelId="{9F6FC877-BA10-4C68-80BB-8B8A6523F6F0}" type="presParOf" srcId="{4B284A8A-BCC9-4EF6-974A-232D0B97CF71}" destId="{FDF57252-0485-4E94-9518-819B97E653A5}" srcOrd="0" destOrd="0" presId="urn:microsoft.com/office/officeart/2005/8/layout/hierarchy2"/>
    <dgm:cxn modelId="{F73CED9E-2310-40CA-8589-C0B4A99A33C2}" type="presParOf" srcId="{4B284A8A-BCC9-4EF6-974A-232D0B97CF71}" destId="{9011B6DD-AE68-4961-942C-A665733F7BF4}" srcOrd="1" destOrd="0" presId="urn:microsoft.com/office/officeart/2005/8/layout/hierarchy2"/>
    <dgm:cxn modelId="{2A5B4484-AF54-4A2C-B30F-0EFC7306DD6A}" type="presParOf" srcId="{9011B6DD-AE68-4961-942C-A665733F7BF4}" destId="{C798FBDF-6E1D-47DE-AFF4-FF2F3558A01E}" srcOrd="0" destOrd="0" presId="urn:microsoft.com/office/officeart/2005/8/layout/hierarchy2"/>
    <dgm:cxn modelId="{E91C8450-8BCC-4B18-B112-B947E5C8CDA3}" type="presParOf" srcId="{C798FBDF-6E1D-47DE-AFF4-FF2F3558A01E}" destId="{2DF28BDD-B675-4005-8498-647C08CCD132}" srcOrd="0" destOrd="0" presId="urn:microsoft.com/office/officeart/2005/8/layout/hierarchy2"/>
    <dgm:cxn modelId="{F303EBA0-3DF8-4DA6-A01A-782691206766}" type="presParOf" srcId="{9011B6DD-AE68-4961-942C-A665733F7BF4}" destId="{B70AEDE7-A245-44A6-9D01-C54184B2E71D}" srcOrd="1" destOrd="0" presId="urn:microsoft.com/office/officeart/2005/8/layout/hierarchy2"/>
    <dgm:cxn modelId="{4E26DA2C-E965-4DCE-9A49-0D460FA35B06}" type="presParOf" srcId="{B70AEDE7-A245-44A6-9D01-C54184B2E71D}" destId="{299DB7B5-147A-4B56-BD71-258F2E319699}" srcOrd="0" destOrd="0" presId="urn:microsoft.com/office/officeart/2005/8/layout/hierarchy2"/>
    <dgm:cxn modelId="{EE00B731-8332-446D-BFF2-4AD438DD2A1A}" type="presParOf" srcId="{B70AEDE7-A245-44A6-9D01-C54184B2E71D}" destId="{A6415648-83F9-460D-968B-A80259EE7D7F}" srcOrd="1" destOrd="0" presId="urn:microsoft.com/office/officeart/2005/8/layout/hierarchy2"/>
    <dgm:cxn modelId="{AA4C2051-BAE8-4066-9432-CA43647205F6}" type="presParOf" srcId="{A6415648-83F9-460D-968B-A80259EE7D7F}" destId="{2885D908-1890-4DF2-AA56-5F58E916BA5F}" srcOrd="0" destOrd="0" presId="urn:microsoft.com/office/officeart/2005/8/layout/hierarchy2"/>
    <dgm:cxn modelId="{8157DE63-1E87-47F6-82B7-8B34A0B9508C}" type="presParOf" srcId="{2885D908-1890-4DF2-AA56-5F58E916BA5F}" destId="{070ECFA4-C9A0-492B-9956-2ED19810F290}" srcOrd="0" destOrd="0" presId="urn:microsoft.com/office/officeart/2005/8/layout/hierarchy2"/>
    <dgm:cxn modelId="{ED03841D-C68E-4AEB-9695-6BABFFCB7739}" type="presParOf" srcId="{A6415648-83F9-460D-968B-A80259EE7D7F}" destId="{CEDBBF8C-C319-450C-86FA-C705F6200DA0}" srcOrd="1" destOrd="0" presId="urn:microsoft.com/office/officeart/2005/8/layout/hierarchy2"/>
    <dgm:cxn modelId="{9B79A5F7-C70E-4582-BEA4-459386683959}" type="presParOf" srcId="{CEDBBF8C-C319-450C-86FA-C705F6200DA0}" destId="{75C27B92-6CC4-4B40-95A9-71E9F09AC553}" srcOrd="0" destOrd="0" presId="urn:microsoft.com/office/officeart/2005/8/layout/hierarchy2"/>
    <dgm:cxn modelId="{1CFD1CCB-9412-4A8D-9375-B55ED52AAFA6}" type="presParOf" srcId="{CEDBBF8C-C319-450C-86FA-C705F6200DA0}" destId="{F7FF4A6D-B6DA-40F7-B1FD-4F1C0579AEB3}" srcOrd="1" destOrd="0" presId="urn:microsoft.com/office/officeart/2005/8/layout/hierarchy2"/>
    <dgm:cxn modelId="{C983789F-0414-454A-99D4-94B50FE4E265}" type="presParOf" srcId="{F7FF4A6D-B6DA-40F7-B1FD-4F1C0579AEB3}" destId="{8FCFA1DF-8D7B-4AE3-A13D-E9E0A8D4269E}" srcOrd="0" destOrd="0" presId="urn:microsoft.com/office/officeart/2005/8/layout/hierarchy2"/>
    <dgm:cxn modelId="{72B70E10-9AAE-45F4-A03A-F7D1C2C5C30D}" type="presParOf" srcId="{8FCFA1DF-8D7B-4AE3-A13D-E9E0A8D4269E}" destId="{FA44B7C6-7A53-48D1-A800-6F77A46D1280}" srcOrd="0" destOrd="0" presId="urn:microsoft.com/office/officeart/2005/8/layout/hierarchy2"/>
    <dgm:cxn modelId="{0D67C7C6-60EC-4C90-ADDF-AEE440757FC4}" type="presParOf" srcId="{F7FF4A6D-B6DA-40F7-B1FD-4F1C0579AEB3}" destId="{14C42A29-9D91-40F7-B6AD-3C4F84687301}" srcOrd="1" destOrd="0" presId="urn:microsoft.com/office/officeart/2005/8/layout/hierarchy2"/>
    <dgm:cxn modelId="{F4390339-B260-41B7-B544-28C9EDAAFF83}" type="presParOf" srcId="{14C42A29-9D91-40F7-B6AD-3C4F84687301}" destId="{B52201AD-DF5C-4637-95C6-49BD23B1F50B}" srcOrd="0" destOrd="0" presId="urn:microsoft.com/office/officeart/2005/8/layout/hierarchy2"/>
    <dgm:cxn modelId="{627F84E2-F089-4A63-BA65-162EE33D5776}" type="presParOf" srcId="{14C42A29-9D91-40F7-B6AD-3C4F84687301}" destId="{155AD761-DB1C-4B0B-9AD8-F41E6419EE83}" srcOrd="1" destOrd="0" presId="urn:microsoft.com/office/officeart/2005/8/layout/hierarchy2"/>
    <dgm:cxn modelId="{18DA064E-6067-439D-8ACA-EF982409A62E}" type="presParOf" srcId="{155AD761-DB1C-4B0B-9AD8-F41E6419EE83}" destId="{CB3877FC-91B8-4FC2-9D6B-E11F9D0115BE}" srcOrd="0" destOrd="0" presId="urn:microsoft.com/office/officeart/2005/8/layout/hierarchy2"/>
    <dgm:cxn modelId="{0A41FCFF-1A56-405A-AD14-3BE46848C3E9}" type="presParOf" srcId="{CB3877FC-91B8-4FC2-9D6B-E11F9D0115BE}" destId="{D350F211-560B-4623-A313-94CD6AC07C64}" srcOrd="0" destOrd="0" presId="urn:microsoft.com/office/officeart/2005/8/layout/hierarchy2"/>
    <dgm:cxn modelId="{39CF2EFF-0616-4E93-BA77-8A90F118525D}" type="presParOf" srcId="{155AD761-DB1C-4B0B-9AD8-F41E6419EE83}" destId="{749A4590-F99F-4960-B2D9-264D967A316D}" srcOrd="1" destOrd="0" presId="urn:microsoft.com/office/officeart/2005/8/layout/hierarchy2"/>
    <dgm:cxn modelId="{133D6E7F-CCCA-4258-8199-95BD949A9A73}" type="presParOf" srcId="{749A4590-F99F-4960-B2D9-264D967A316D}" destId="{A844538E-617C-47D5-90B1-EC4C304BD896}" srcOrd="0" destOrd="0" presId="urn:microsoft.com/office/officeart/2005/8/layout/hierarchy2"/>
    <dgm:cxn modelId="{B99F6D2A-0EC6-4FAC-A010-AA61C0F769D0}" type="presParOf" srcId="{749A4590-F99F-4960-B2D9-264D967A316D}" destId="{1CA09CDE-B468-4E25-9189-843F8C85A8C1}" srcOrd="1" destOrd="0" presId="urn:microsoft.com/office/officeart/2005/8/layout/hierarchy2"/>
    <dgm:cxn modelId="{28EC2E87-782B-4B21-B7AA-3CA160B4E7CB}" type="presParOf" srcId="{60F7166B-6032-4503-86E1-B08904426178}" destId="{1DBCEC87-5760-4266-8E86-CC6FC7973A3C}" srcOrd="2" destOrd="0" presId="urn:microsoft.com/office/officeart/2005/8/layout/hierarchy2"/>
    <dgm:cxn modelId="{468C4762-6EA0-4831-9F9C-8979F0840DA0}" type="presParOf" srcId="{1DBCEC87-5760-4266-8E86-CC6FC7973A3C}" destId="{0AE6B2AC-C2C5-46AA-B3AA-D03601EE18E1}" srcOrd="0" destOrd="0" presId="urn:microsoft.com/office/officeart/2005/8/layout/hierarchy2"/>
    <dgm:cxn modelId="{A5DEC150-6578-4A86-9170-99C856460D34}" type="presParOf" srcId="{60F7166B-6032-4503-86E1-B08904426178}" destId="{A02A6634-FB14-418E-9484-A6383E894A26}" srcOrd="3" destOrd="0" presId="urn:microsoft.com/office/officeart/2005/8/layout/hierarchy2"/>
    <dgm:cxn modelId="{180F44A8-7B33-49B9-B61D-ABEA61D47AF7}" type="presParOf" srcId="{A02A6634-FB14-418E-9484-A6383E894A26}" destId="{B0BF95EF-E3AD-447A-B62C-646AC58C325F}" srcOrd="0" destOrd="0" presId="urn:microsoft.com/office/officeart/2005/8/layout/hierarchy2"/>
    <dgm:cxn modelId="{7652D490-97E8-4576-B61C-FBB920B977CB}" type="presParOf" srcId="{A02A6634-FB14-418E-9484-A6383E894A26}" destId="{A3777D26-8293-4E92-9447-4D8A2675D939}" srcOrd="1" destOrd="0" presId="urn:microsoft.com/office/officeart/2005/8/layout/hierarchy2"/>
    <dgm:cxn modelId="{B230B9F3-58A2-4417-BC7B-9C9A0510DE14}" type="presParOf" srcId="{A3777D26-8293-4E92-9447-4D8A2675D939}" destId="{92354185-DBCA-4A21-84F8-224DFD5AB4AF}" srcOrd="0" destOrd="0" presId="urn:microsoft.com/office/officeart/2005/8/layout/hierarchy2"/>
    <dgm:cxn modelId="{B525B6BB-B102-4446-9262-80C1961B059B}" type="presParOf" srcId="{92354185-DBCA-4A21-84F8-224DFD5AB4AF}" destId="{0B17F0EF-629B-4DBD-84BD-00B41E6F1813}" srcOrd="0" destOrd="0" presId="urn:microsoft.com/office/officeart/2005/8/layout/hierarchy2"/>
    <dgm:cxn modelId="{6B75DE8E-E2FD-4E3F-BFED-2A0E6A5488FA}" type="presParOf" srcId="{A3777D26-8293-4E92-9447-4D8A2675D939}" destId="{6E92E842-7384-4869-A798-2E7F30959C39}" srcOrd="1" destOrd="0" presId="urn:microsoft.com/office/officeart/2005/8/layout/hierarchy2"/>
    <dgm:cxn modelId="{F18894D5-9A79-40A2-ADB7-2835226003DE}" type="presParOf" srcId="{6E92E842-7384-4869-A798-2E7F30959C39}" destId="{7E949926-E243-4CA5-864B-20D791018212}" srcOrd="0" destOrd="0" presId="urn:microsoft.com/office/officeart/2005/8/layout/hierarchy2"/>
    <dgm:cxn modelId="{17B47115-8F40-4EDE-8086-A4F1DDBDFF6F}" type="presParOf" srcId="{6E92E842-7384-4869-A798-2E7F30959C39}" destId="{BAF67175-4D3A-46B6-8445-74C14725DEB8}" srcOrd="1" destOrd="0" presId="urn:microsoft.com/office/officeart/2005/8/layout/hierarchy2"/>
    <dgm:cxn modelId="{85BD4D49-F786-4A13-89C0-4C16968ABFEC}" type="presParOf" srcId="{BAF67175-4D3A-46B6-8445-74C14725DEB8}" destId="{5B8BE731-C7C1-49D4-BB62-68D307B5CEEF}" srcOrd="0" destOrd="0" presId="urn:microsoft.com/office/officeart/2005/8/layout/hierarchy2"/>
    <dgm:cxn modelId="{155DDBC6-2372-4C8D-93F6-91EBB22276F6}" type="presParOf" srcId="{5B8BE731-C7C1-49D4-BB62-68D307B5CEEF}" destId="{31355AB0-A5F0-43E2-B52D-E885F45D3B98}" srcOrd="0" destOrd="0" presId="urn:microsoft.com/office/officeart/2005/8/layout/hierarchy2"/>
    <dgm:cxn modelId="{E58FF39B-D3B2-4969-BC32-E82B181D8BE0}" type="presParOf" srcId="{BAF67175-4D3A-46B6-8445-74C14725DEB8}" destId="{8FAFE8C7-BEA6-4C18-825C-DDFF077BFE1A}" srcOrd="1" destOrd="0" presId="urn:microsoft.com/office/officeart/2005/8/layout/hierarchy2"/>
    <dgm:cxn modelId="{8043C7D4-D8FD-4335-8D49-A2835E1A4E20}" type="presParOf" srcId="{8FAFE8C7-BEA6-4C18-825C-DDFF077BFE1A}" destId="{44DCE07A-E41F-4B9A-9AFD-AF1F7CCED65A}" srcOrd="0" destOrd="0" presId="urn:microsoft.com/office/officeart/2005/8/layout/hierarchy2"/>
    <dgm:cxn modelId="{D2AA353C-9B3C-474E-A943-C52F3479E047}" type="presParOf" srcId="{8FAFE8C7-BEA6-4C18-825C-DDFF077BFE1A}" destId="{1D8FE56E-BBFC-4297-804A-66AE6CF5D9C3}" srcOrd="1" destOrd="0" presId="urn:microsoft.com/office/officeart/2005/8/layout/hierarchy2"/>
    <dgm:cxn modelId="{E68F6E76-B283-495E-BBB6-5E5B4C38AFF9}" type="presParOf" srcId="{1D8FE56E-BBFC-4297-804A-66AE6CF5D9C3}" destId="{D935D560-7774-4779-8BD2-13BFC1D3BACF}" srcOrd="0" destOrd="0" presId="urn:microsoft.com/office/officeart/2005/8/layout/hierarchy2"/>
    <dgm:cxn modelId="{6FE8F0AD-E0C5-41D7-901A-683BC1251C79}" type="presParOf" srcId="{D935D560-7774-4779-8BD2-13BFC1D3BACF}" destId="{1779911C-962E-4AD6-BB14-20D103EF2E6B}" srcOrd="0" destOrd="0" presId="urn:microsoft.com/office/officeart/2005/8/layout/hierarchy2"/>
    <dgm:cxn modelId="{20014A75-9569-4AA2-8BBC-4B3C02503090}" type="presParOf" srcId="{1D8FE56E-BBFC-4297-804A-66AE6CF5D9C3}" destId="{F3F83855-77D7-4E60-B9A9-D567FF2E5290}" srcOrd="1" destOrd="0" presId="urn:microsoft.com/office/officeart/2005/8/layout/hierarchy2"/>
    <dgm:cxn modelId="{13740E1F-BF77-4F2F-AFDA-C5301099811F}" type="presParOf" srcId="{F3F83855-77D7-4E60-B9A9-D567FF2E5290}" destId="{98A33CD7-77E9-4331-856C-70FB910FFA5F}" srcOrd="0" destOrd="0" presId="urn:microsoft.com/office/officeart/2005/8/layout/hierarchy2"/>
    <dgm:cxn modelId="{0CF86FD6-2198-40E3-A3DF-837E595B7B85}" type="presParOf" srcId="{F3F83855-77D7-4E60-B9A9-D567FF2E5290}" destId="{776F3BAF-ACB3-455E-B112-CD5CB5637A9A}" srcOrd="1" destOrd="0" presId="urn:microsoft.com/office/officeart/2005/8/layout/hierarchy2"/>
    <dgm:cxn modelId="{4BC09AA0-F171-4EA0-BE4E-54F61631C8E0}" type="presParOf" srcId="{776F3BAF-ACB3-455E-B112-CD5CB5637A9A}" destId="{2F1E8219-B659-41F3-AE9B-2584FF7876EF}" srcOrd="0" destOrd="0" presId="urn:microsoft.com/office/officeart/2005/8/layout/hierarchy2"/>
    <dgm:cxn modelId="{3C98FAE0-A534-4587-A4F5-6DF5C6483AB7}" type="presParOf" srcId="{2F1E8219-B659-41F3-AE9B-2584FF7876EF}" destId="{16E5B41E-C7D6-4189-830D-DBCFC9121696}" srcOrd="0" destOrd="0" presId="urn:microsoft.com/office/officeart/2005/8/layout/hierarchy2"/>
    <dgm:cxn modelId="{6CB7642B-3131-4A76-9180-9E7D22AA27F8}" type="presParOf" srcId="{776F3BAF-ACB3-455E-B112-CD5CB5637A9A}" destId="{5E4991A9-6931-406A-B6B3-1294767AE474}" srcOrd="1" destOrd="0" presId="urn:microsoft.com/office/officeart/2005/8/layout/hierarchy2"/>
    <dgm:cxn modelId="{CBF931C0-C5AB-4FF4-8DCD-6F9E4AA8C6CB}" type="presParOf" srcId="{5E4991A9-6931-406A-B6B3-1294767AE474}" destId="{0C4019F4-33C5-40BC-8599-8F1DAB8B9326}" srcOrd="0" destOrd="0" presId="urn:microsoft.com/office/officeart/2005/8/layout/hierarchy2"/>
    <dgm:cxn modelId="{1EB5A40F-8199-4FDC-A841-FCB78F1182CF}" type="presParOf" srcId="{5E4991A9-6931-406A-B6B3-1294767AE474}" destId="{FDCA7BF7-38C3-48FB-9597-C92C59428087}" srcOrd="1" destOrd="0" presId="urn:microsoft.com/office/officeart/2005/8/layout/hierarchy2"/>
    <dgm:cxn modelId="{8F0CFC6C-34D8-4E0C-AB4A-532DAD806A8B}" type="presParOf" srcId="{FDCA7BF7-38C3-48FB-9597-C92C59428087}" destId="{70818E4E-65CA-4391-A769-C16EF8DF3D1E}" srcOrd="0" destOrd="0" presId="urn:microsoft.com/office/officeart/2005/8/layout/hierarchy2"/>
    <dgm:cxn modelId="{E67DD614-C6AC-4088-BAA5-B782466347D8}" type="presParOf" srcId="{70818E4E-65CA-4391-A769-C16EF8DF3D1E}" destId="{36323F35-1F4F-46D4-88CA-84E50C329136}" srcOrd="0" destOrd="0" presId="urn:microsoft.com/office/officeart/2005/8/layout/hierarchy2"/>
    <dgm:cxn modelId="{EE440FCE-8152-4B3A-827F-B2B4D84FEDCF}" type="presParOf" srcId="{FDCA7BF7-38C3-48FB-9597-C92C59428087}" destId="{51680600-E90D-4096-A35E-D3C71AB8E226}" srcOrd="1" destOrd="0" presId="urn:microsoft.com/office/officeart/2005/8/layout/hierarchy2"/>
    <dgm:cxn modelId="{39D08688-F337-4531-8157-7B7585F39610}" type="presParOf" srcId="{51680600-E90D-4096-A35E-D3C71AB8E226}" destId="{3CC85C9C-3AD6-42D8-8BB3-F6239BEC3592}" srcOrd="0" destOrd="0" presId="urn:microsoft.com/office/officeart/2005/8/layout/hierarchy2"/>
    <dgm:cxn modelId="{38E73406-C638-491D-A378-CB0422AC2418}" type="presParOf" srcId="{51680600-E90D-4096-A35E-D3C71AB8E226}" destId="{B85BCD4B-9498-46FD-8251-A95BA93AEB9B}" srcOrd="1" destOrd="0" presId="urn:microsoft.com/office/officeart/2005/8/layout/hierarchy2"/>
    <dgm:cxn modelId="{D97461C4-6402-458A-BA32-6B868CF9B287}" type="presParOf" srcId="{60F7166B-6032-4503-86E1-B08904426178}" destId="{4D5AB6F6-FFAC-458C-B555-327068430A50}" srcOrd="4" destOrd="0" presId="urn:microsoft.com/office/officeart/2005/8/layout/hierarchy2"/>
    <dgm:cxn modelId="{B40719FC-F626-4654-8B0A-722B0DF4C7DB}" type="presParOf" srcId="{4D5AB6F6-FFAC-458C-B555-327068430A50}" destId="{E33B4A0B-D312-48ED-BF2B-003EC52272A1}" srcOrd="0" destOrd="0" presId="urn:microsoft.com/office/officeart/2005/8/layout/hierarchy2"/>
    <dgm:cxn modelId="{6EEE815B-1534-47A3-812D-F0A44031EC53}" type="presParOf" srcId="{60F7166B-6032-4503-86E1-B08904426178}" destId="{1FFAC029-6EAF-42E5-B636-5591BDA45C45}" srcOrd="5" destOrd="0" presId="urn:microsoft.com/office/officeart/2005/8/layout/hierarchy2"/>
    <dgm:cxn modelId="{1E8AFDBE-EBC9-4EF1-8B06-51B18EB35737}" type="presParOf" srcId="{1FFAC029-6EAF-42E5-B636-5591BDA45C45}" destId="{761806C1-4E14-4F20-8E3F-BE484331CAC1}" srcOrd="0" destOrd="0" presId="urn:microsoft.com/office/officeart/2005/8/layout/hierarchy2"/>
    <dgm:cxn modelId="{A8853367-EBD5-476B-BDD2-22EC806CA6E8}" type="presParOf" srcId="{1FFAC029-6EAF-42E5-B636-5591BDA45C45}" destId="{44E66F27-4073-464E-9556-8AD5CF167CDD}" srcOrd="1" destOrd="0" presId="urn:microsoft.com/office/officeart/2005/8/layout/hierarchy2"/>
    <dgm:cxn modelId="{43A350B1-37C7-4F52-9C66-36D030648AE4}" type="presParOf" srcId="{44E66F27-4073-464E-9556-8AD5CF167CDD}" destId="{C80259AB-F3D9-4E2B-A527-B7387593D480}" srcOrd="0" destOrd="0" presId="urn:microsoft.com/office/officeart/2005/8/layout/hierarchy2"/>
    <dgm:cxn modelId="{505157DD-B531-48A4-9278-838088541581}" type="presParOf" srcId="{C80259AB-F3D9-4E2B-A527-B7387593D480}" destId="{C83D046E-BFC0-4156-9ABF-8C1A4EE346B8}" srcOrd="0" destOrd="0" presId="urn:microsoft.com/office/officeart/2005/8/layout/hierarchy2"/>
    <dgm:cxn modelId="{769DA6CE-2F3E-4070-A1E5-6E962E2A4A9A}" type="presParOf" srcId="{44E66F27-4073-464E-9556-8AD5CF167CDD}" destId="{DB698CD3-2C38-4158-A8C8-63CA90607494}" srcOrd="1" destOrd="0" presId="urn:microsoft.com/office/officeart/2005/8/layout/hierarchy2"/>
    <dgm:cxn modelId="{37DAF849-DC6E-4AA9-974E-3B95D2E5482B}" type="presParOf" srcId="{DB698CD3-2C38-4158-A8C8-63CA90607494}" destId="{FA7E10B4-455E-40D8-9094-7701C2446506}" srcOrd="0" destOrd="0" presId="urn:microsoft.com/office/officeart/2005/8/layout/hierarchy2"/>
    <dgm:cxn modelId="{635FA962-00EC-4D6E-A48F-47F88069968F}" type="presParOf" srcId="{DB698CD3-2C38-4158-A8C8-63CA90607494}" destId="{10B4B790-BB75-49E1-B6C7-C1DB758D193D}" srcOrd="1" destOrd="0" presId="urn:microsoft.com/office/officeart/2005/8/layout/hierarchy2"/>
    <dgm:cxn modelId="{755358F6-D0E7-4B8B-97EA-4F47FBB3A7A0}" type="presParOf" srcId="{10B4B790-BB75-49E1-B6C7-C1DB758D193D}" destId="{AD510A24-47D6-4085-A1F6-3DD4D3724B2A}" srcOrd="0" destOrd="0" presId="urn:microsoft.com/office/officeart/2005/8/layout/hierarchy2"/>
    <dgm:cxn modelId="{BAADE1EF-2EDB-49EA-A750-317D729B88FA}" type="presParOf" srcId="{AD510A24-47D6-4085-A1F6-3DD4D3724B2A}" destId="{2D438221-B6BC-494F-B6B9-267AB2380C1E}" srcOrd="0" destOrd="0" presId="urn:microsoft.com/office/officeart/2005/8/layout/hierarchy2"/>
    <dgm:cxn modelId="{1B3C8B5E-7437-445E-89A8-5EC1B209CEEE}" type="presParOf" srcId="{10B4B790-BB75-49E1-B6C7-C1DB758D193D}" destId="{3886FF7E-A777-45F0-A1C5-EE791ED02F93}" srcOrd="1" destOrd="0" presId="urn:microsoft.com/office/officeart/2005/8/layout/hierarchy2"/>
    <dgm:cxn modelId="{A3B0EABB-3C57-4DC1-AD1B-50FD4F891EF2}" type="presParOf" srcId="{3886FF7E-A777-45F0-A1C5-EE791ED02F93}" destId="{F87CEE2C-13F7-47DD-A4A5-8DD2DBA4CAB0}" srcOrd="0" destOrd="0" presId="urn:microsoft.com/office/officeart/2005/8/layout/hierarchy2"/>
    <dgm:cxn modelId="{3ACC696E-9E9A-4EB4-B8E9-59FC42AE72D9}" type="presParOf" srcId="{3886FF7E-A777-45F0-A1C5-EE791ED02F93}" destId="{9D6FC076-6C7E-48B9-A4AC-F339D9FE5B67}" srcOrd="1" destOrd="0" presId="urn:microsoft.com/office/officeart/2005/8/layout/hierarchy2"/>
    <dgm:cxn modelId="{25D42F60-0670-4CEA-A444-C30052B817F2}" type="presParOf" srcId="{9D6FC076-6C7E-48B9-A4AC-F339D9FE5B67}" destId="{33D7B50A-568A-404F-AF6B-F637E120BDDA}" srcOrd="0" destOrd="0" presId="urn:microsoft.com/office/officeart/2005/8/layout/hierarchy2"/>
    <dgm:cxn modelId="{2AFC9BA5-E811-4AC1-A6EB-2D43B4F0F05F}" type="presParOf" srcId="{33D7B50A-568A-404F-AF6B-F637E120BDDA}" destId="{297F8706-E109-49E4-B0DC-472D81B891BD}" srcOrd="0" destOrd="0" presId="urn:microsoft.com/office/officeart/2005/8/layout/hierarchy2"/>
    <dgm:cxn modelId="{99710511-D777-403D-AD7F-6A714A1745FB}" type="presParOf" srcId="{9D6FC076-6C7E-48B9-A4AC-F339D9FE5B67}" destId="{6869B279-ADB2-4921-B26F-F66F0985406C}" srcOrd="1" destOrd="0" presId="urn:microsoft.com/office/officeart/2005/8/layout/hierarchy2"/>
    <dgm:cxn modelId="{3663C2C3-0FB9-414F-B718-4D76B4D6A273}" type="presParOf" srcId="{6869B279-ADB2-4921-B26F-F66F0985406C}" destId="{3C1BBCC7-E79E-4814-8297-5BB246104496}" srcOrd="0" destOrd="0" presId="urn:microsoft.com/office/officeart/2005/8/layout/hierarchy2"/>
    <dgm:cxn modelId="{C31EB116-E487-438F-B12A-1ACFE175FE38}" type="presParOf" srcId="{6869B279-ADB2-4921-B26F-F66F0985406C}" destId="{77224217-C7D6-4D15-839A-F29E556B2787}" srcOrd="1" destOrd="0" presId="urn:microsoft.com/office/officeart/2005/8/layout/hierarchy2"/>
    <dgm:cxn modelId="{1C2D8FC4-0602-4995-A20C-BD37B8011800}" type="presParOf" srcId="{77224217-C7D6-4D15-839A-F29E556B2787}" destId="{121D9905-B3A4-436E-A1D5-F457DC0FB490}" srcOrd="0" destOrd="0" presId="urn:microsoft.com/office/officeart/2005/8/layout/hierarchy2"/>
    <dgm:cxn modelId="{C4ED5C39-5EC3-40B8-94E2-A6DB099EE326}" type="presParOf" srcId="{121D9905-B3A4-436E-A1D5-F457DC0FB490}" destId="{ED5C4E3A-798B-452D-AA38-E6CB3F6C2A8A}" srcOrd="0" destOrd="0" presId="urn:microsoft.com/office/officeart/2005/8/layout/hierarchy2"/>
    <dgm:cxn modelId="{53AE7CF2-2A82-41AF-B774-B6732702C206}" type="presParOf" srcId="{77224217-C7D6-4D15-839A-F29E556B2787}" destId="{67F82F3F-DB13-4C5E-B0A7-FD4897E95BA1}" srcOrd="1" destOrd="0" presId="urn:microsoft.com/office/officeart/2005/8/layout/hierarchy2"/>
    <dgm:cxn modelId="{1BB761E0-F43E-41A9-9A6D-987588C65C68}" type="presParOf" srcId="{67F82F3F-DB13-4C5E-B0A7-FD4897E95BA1}" destId="{004785DF-F189-4494-91D0-C897BF691894}" srcOrd="0" destOrd="0" presId="urn:microsoft.com/office/officeart/2005/8/layout/hierarchy2"/>
    <dgm:cxn modelId="{63A39D12-7FBA-440F-BB6C-1E363643F778}" type="presParOf" srcId="{67F82F3F-DB13-4C5E-B0A7-FD4897E95BA1}" destId="{0A13714B-B4B5-43F5-89C7-BE1F9A65E539}" srcOrd="1" destOrd="0" presId="urn:microsoft.com/office/officeart/2005/8/layout/hierarchy2"/>
    <dgm:cxn modelId="{5B5BBB96-25B5-4EDD-BC3B-549A83F1D7FD}" type="presParOf" srcId="{0A13714B-B4B5-43F5-89C7-BE1F9A65E539}" destId="{9E92B4C6-4361-4131-86BB-BDACFCA82FA4}" srcOrd="0" destOrd="0" presId="urn:microsoft.com/office/officeart/2005/8/layout/hierarchy2"/>
    <dgm:cxn modelId="{3DF92A9B-AB4F-4FE9-8327-F229F323DD6C}" type="presParOf" srcId="{9E92B4C6-4361-4131-86BB-BDACFCA82FA4}" destId="{E39340D0-33D6-4FEE-A628-BCB11ECA24D7}" srcOrd="0" destOrd="0" presId="urn:microsoft.com/office/officeart/2005/8/layout/hierarchy2"/>
    <dgm:cxn modelId="{8F83EF6B-0B24-40A2-84F4-B6D05AF29352}" type="presParOf" srcId="{0A13714B-B4B5-43F5-89C7-BE1F9A65E539}" destId="{03A4BAC4-8D83-4BD6-98B9-8BC9F9102B92}" srcOrd="1" destOrd="0" presId="urn:microsoft.com/office/officeart/2005/8/layout/hierarchy2"/>
    <dgm:cxn modelId="{0F108EAE-8052-4572-B28E-7B41550E4DA3}" type="presParOf" srcId="{03A4BAC4-8D83-4BD6-98B9-8BC9F9102B92}" destId="{EA1EA348-E697-47A0-BB9C-C79C60FA0661}" srcOrd="0" destOrd="0" presId="urn:microsoft.com/office/officeart/2005/8/layout/hierarchy2"/>
    <dgm:cxn modelId="{CB190E53-A2F9-43A5-A6BB-1AB5BDDE8B43}" type="presParOf" srcId="{03A4BAC4-8D83-4BD6-98B9-8BC9F9102B92}" destId="{54AC8B29-3C7A-4A9A-A2C6-FE097D4D3334}" srcOrd="1" destOrd="0" presId="urn:microsoft.com/office/officeart/2005/8/layout/hierarchy2"/>
    <dgm:cxn modelId="{AFF4742B-58FB-4C24-9EB5-880B589917DA}" type="presParOf" srcId="{5F8FEBD3-2825-4F65-81FA-4B7298EBA325}" destId="{0A574E65-26AD-4153-ACFA-B6508D80ED8C}" srcOrd="4" destOrd="0" presId="urn:microsoft.com/office/officeart/2005/8/layout/hierarchy2"/>
    <dgm:cxn modelId="{8572C4E9-801B-487A-AEAC-B59483ED3974}" type="presParOf" srcId="{0A574E65-26AD-4153-ACFA-B6508D80ED8C}" destId="{DF5748A7-7A00-4FBE-A8FC-176979B7C0A1}" srcOrd="0" destOrd="0" presId="urn:microsoft.com/office/officeart/2005/8/layout/hierarchy2"/>
    <dgm:cxn modelId="{D76BE5B3-937A-4D59-8C8F-E6E9EC19F441}" type="presParOf" srcId="{5F8FEBD3-2825-4F65-81FA-4B7298EBA325}" destId="{562B9796-1AA1-439A-B4E0-9FDC10B25D4F}" srcOrd="5" destOrd="0" presId="urn:microsoft.com/office/officeart/2005/8/layout/hierarchy2"/>
    <dgm:cxn modelId="{1D73394A-8182-4F3A-8780-AF83DFD4E42F}" type="presParOf" srcId="{562B9796-1AA1-439A-B4E0-9FDC10B25D4F}" destId="{3FF46F38-73CF-4DBB-B22D-5757F5DF1549}" srcOrd="0" destOrd="0" presId="urn:microsoft.com/office/officeart/2005/8/layout/hierarchy2"/>
    <dgm:cxn modelId="{ED633F24-03F4-4CCD-A90B-626FAA0E5436}" type="presParOf" srcId="{562B9796-1AA1-439A-B4E0-9FDC10B25D4F}" destId="{3ADCE015-379A-4DA1-B050-0AF1FB4FAAA0}" srcOrd="1" destOrd="0" presId="urn:microsoft.com/office/officeart/2005/8/layout/hierarchy2"/>
    <dgm:cxn modelId="{AC67CD05-555D-49A4-A3DA-F900D4C4BDAB}" type="presParOf" srcId="{3ADCE015-379A-4DA1-B050-0AF1FB4FAAA0}" destId="{D9323FB4-687C-4C65-9470-F1A71F51C4C7}" srcOrd="0" destOrd="0" presId="urn:microsoft.com/office/officeart/2005/8/layout/hierarchy2"/>
    <dgm:cxn modelId="{7F3DDC46-452E-4AAF-83E5-6041C7A1AE21}" type="presParOf" srcId="{D9323FB4-687C-4C65-9470-F1A71F51C4C7}" destId="{E342E02D-2027-4B7E-BF15-C58439D671A8}" srcOrd="0" destOrd="0" presId="urn:microsoft.com/office/officeart/2005/8/layout/hierarchy2"/>
    <dgm:cxn modelId="{2AD44F8A-75C7-4066-8A9E-4D3F91DE9DFE}" type="presParOf" srcId="{3ADCE015-379A-4DA1-B050-0AF1FB4FAAA0}" destId="{335AA603-F7B1-461C-9A48-2EB29DC4FB2B}" srcOrd="1" destOrd="0" presId="urn:microsoft.com/office/officeart/2005/8/layout/hierarchy2"/>
    <dgm:cxn modelId="{0DADC9B7-F893-468D-B21B-DF3910CA6517}" type="presParOf" srcId="{335AA603-F7B1-461C-9A48-2EB29DC4FB2B}" destId="{FDF73456-B5D7-406E-9142-FB46C4CA82EA}" srcOrd="0" destOrd="0" presId="urn:microsoft.com/office/officeart/2005/8/layout/hierarchy2"/>
    <dgm:cxn modelId="{F1D73280-99B3-4E11-9D5A-40E63925387D}" type="presParOf" srcId="{335AA603-F7B1-461C-9A48-2EB29DC4FB2B}" destId="{D93D9C7C-303A-4FE1-81FC-5218E7D27283}" srcOrd="1" destOrd="0" presId="urn:microsoft.com/office/officeart/2005/8/layout/hierarchy2"/>
    <dgm:cxn modelId="{CE638140-7596-4CB1-843C-0E1509635038}" type="presParOf" srcId="{D93D9C7C-303A-4FE1-81FC-5218E7D27283}" destId="{9BE4A52F-5A0D-4495-93ED-124F3853D05E}" srcOrd="0" destOrd="0" presId="urn:microsoft.com/office/officeart/2005/8/layout/hierarchy2"/>
    <dgm:cxn modelId="{8F91F6A3-E053-4985-895C-266B7A6BC545}" type="presParOf" srcId="{9BE4A52F-5A0D-4495-93ED-124F3853D05E}" destId="{F38E34CB-BA4E-43F2-AE76-ADDDC2F6AF8C}" srcOrd="0" destOrd="0" presId="urn:microsoft.com/office/officeart/2005/8/layout/hierarchy2"/>
    <dgm:cxn modelId="{C1C17037-0E95-4ED8-8A30-413386AB5ED1}" type="presParOf" srcId="{D93D9C7C-303A-4FE1-81FC-5218E7D27283}" destId="{3CF318FF-F043-40F0-A0CB-65C4B4FF5E89}" srcOrd="1" destOrd="0" presId="urn:microsoft.com/office/officeart/2005/8/layout/hierarchy2"/>
    <dgm:cxn modelId="{0B52C06E-404C-432D-82A6-8181BEE74AD3}" type="presParOf" srcId="{3CF318FF-F043-40F0-A0CB-65C4B4FF5E89}" destId="{F74A89F7-B5B1-411A-A507-7DA4255A624A}" srcOrd="0" destOrd="0" presId="urn:microsoft.com/office/officeart/2005/8/layout/hierarchy2"/>
    <dgm:cxn modelId="{3EB62A31-2457-4566-A8CA-05BF962DBFE9}" type="presParOf" srcId="{3CF318FF-F043-40F0-A0CB-65C4B4FF5E89}" destId="{F6A8D533-9DDB-44B2-BCE4-88B0166E1510}" srcOrd="1" destOrd="0" presId="urn:microsoft.com/office/officeart/2005/8/layout/hierarchy2"/>
    <dgm:cxn modelId="{3C283FD6-16AA-4744-B104-BBA3CC33D734}" type="presParOf" srcId="{F6A8D533-9DDB-44B2-BCE4-88B0166E1510}" destId="{0E4430D5-CDA1-46C4-A8D2-B977202A1EBF}" srcOrd="0" destOrd="0" presId="urn:microsoft.com/office/officeart/2005/8/layout/hierarchy2"/>
    <dgm:cxn modelId="{648CCFE8-8B77-4D88-A119-1C85D6E91F46}" type="presParOf" srcId="{0E4430D5-CDA1-46C4-A8D2-B977202A1EBF}" destId="{959143E3-7593-4F88-B3E0-2F1542C0EE38}" srcOrd="0" destOrd="0" presId="urn:microsoft.com/office/officeart/2005/8/layout/hierarchy2"/>
    <dgm:cxn modelId="{DBE3A384-61CD-4140-8AA4-B9B3E1F17F83}" type="presParOf" srcId="{F6A8D533-9DDB-44B2-BCE4-88B0166E1510}" destId="{63F0F6C2-3C53-4AF2-BC86-52E5FE0F3341}" srcOrd="1" destOrd="0" presId="urn:microsoft.com/office/officeart/2005/8/layout/hierarchy2"/>
    <dgm:cxn modelId="{11C8CF38-D6D8-4389-BE22-FA51067BECE8}" type="presParOf" srcId="{63F0F6C2-3C53-4AF2-BC86-52E5FE0F3341}" destId="{FA05FBB8-38CC-4AC9-86BE-70D50F88621A}" srcOrd="0" destOrd="0" presId="urn:microsoft.com/office/officeart/2005/8/layout/hierarchy2"/>
    <dgm:cxn modelId="{E3C2255D-1D79-45FF-822A-C3F2F89CC2F8}" type="presParOf" srcId="{63F0F6C2-3C53-4AF2-BC86-52E5FE0F3341}" destId="{5A3E28E7-773E-4AFA-8D6A-A47CC47ADA05}" srcOrd="1" destOrd="0" presId="urn:microsoft.com/office/officeart/2005/8/layout/hierarchy2"/>
    <dgm:cxn modelId="{2E9086B4-3AFF-4023-B4B5-BA90B2952645}" type="presParOf" srcId="{5A3E28E7-773E-4AFA-8D6A-A47CC47ADA05}" destId="{04024163-7E66-46A1-8209-73FF25CF8548}" srcOrd="0" destOrd="0" presId="urn:microsoft.com/office/officeart/2005/8/layout/hierarchy2"/>
    <dgm:cxn modelId="{61E2F921-4DBC-47F1-B446-BE7F27B2DF8E}" type="presParOf" srcId="{04024163-7E66-46A1-8209-73FF25CF8548}" destId="{59628DDE-4554-49D9-8B02-8F6B90D608B5}" srcOrd="0" destOrd="0" presId="urn:microsoft.com/office/officeart/2005/8/layout/hierarchy2"/>
    <dgm:cxn modelId="{F5B91C94-F1DE-445C-8140-41CC31210154}" type="presParOf" srcId="{5A3E28E7-773E-4AFA-8D6A-A47CC47ADA05}" destId="{E7DDE02B-AB15-41A0-868B-D7E48FBEAED5}" srcOrd="1" destOrd="0" presId="urn:microsoft.com/office/officeart/2005/8/layout/hierarchy2"/>
    <dgm:cxn modelId="{0B6BD87A-D3C7-4DD9-9238-B66E1864D7FA}" type="presParOf" srcId="{E7DDE02B-AB15-41A0-868B-D7E48FBEAED5}" destId="{5A304F7F-1E24-49F4-B5DD-CB3329AB044D}" srcOrd="0" destOrd="0" presId="urn:microsoft.com/office/officeart/2005/8/layout/hierarchy2"/>
    <dgm:cxn modelId="{8E837F80-41E3-4AB4-8180-E4E3EE3BEAEE}" type="presParOf" srcId="{E7DDE02B-AB15-41A0-868B-D7E48FBEAED5}" destId="{A3A76414-39B5-409E-B05F-0CFB75C485EE}" srcOrd="1" destOrd="0" presId="urn:microsoft.com/office/officeart/2005/8/layout/hierarchy2"/>
    <dgm:cxn modelId="{07025F3F-CAE3-4C31-97A9-42393F22C01A}" type="presParOf" srcId="{A3A76414-39B5-409E-B05F-0CFB75C485EE}" destId="{C9B95468-A4CE-4BAB-9D89-2C6B1A0ADB22}" srcOrd="0" destOrd="0" presId="urn:microsoft.com/office/officeart/2005/8/layout/hierarchy2"/>
    <dgm:cxn modelId="{D32FC58D-C00D-473D-B5EC-87F86157820B}" type="presParOf" srcId="{C9B95468-A4CE-4BAB-9D89-2C6B1A0ADB22}" destId="{F0451537-1892-407C-8F46-B0CF81421FC1}" srcOrd="0" destOrd="0" presId="urn:microsoft.com/office/officeart/2005/8/layout/hierarchy2"/>
    <dgm:cxn modelId="{1B7C3C96-FDF5-4D82-AA1F-1828F65F8F14}" type="presParOf" srcId="{A3A76414-39B5-409E-B05F-0CFB75C485EE}" destId="{E139B4C7-193E-4669-86E2-B7F0BC4EEA7A}" srcOrd="1" destOrd="0" presId="urn:microsoft.com/office/officeart/2005/8/layout/hierarchy2"/>
    <dgm:cxn modelId="{FE5A3B78-D1B3-44A6-941F-6B5567A14D33}" type="presParOf" srcId="{E139B4C7-193E-4669-86E2-B7F0BC4EEA7A}" destId="{28A887CD-3969-4793-8C57-5CE7B7B07B85}" srcOrd="0" destOrd="0" presId="urn:microsoft.com/office/officeart/2005/8/layout/hierarchy2"/>
    <dgm:cxn modelId="{ABE6C206-4AFA-47C8-B68E-B58428AE274C}" type="presParOf" srcId="{E139B4C7-193E-4669-86E2-B7F0BC4EEA7A}" destId="{7E794542-B0A1-445A-95FC-C448123F4C3F}" srcOrd="1" destOrd="0" presId="urn:microsoft.com/office/officeart/2005/8/layout/hierarchy2"/>
    <dgm:cxn modelId="{9CFE7B88-19CB-4871-9A17-F85A196FDBD4}" type="presParOf" srcId="{7E794542-B0A1-445A-95FC-C448123F4C3F}" destId="{F65DBCA4-D8B6-4E92-B932-80D05BA1A5BC}" srcOrd="0" destOrd="0" presId="urn:microsoft.com/office/officeart/2005/8/layout/hierarchy2"/>
    <dgm:cxn modelId="{2CD62889-FC53-4BCB-A6D7-5E39C52EAF34}" type="presParOf" srcId="{F65DBCA4-D8B6-4E92-B932-80D05BA1A5BC}" destId="{8249AB79-C1A0-4DF2-9BFC-01160F1F84E5}" srcOrd="0" destOrd="0" presId="urn:microsoft.com/office/officeart/2005/8/layout/hierarchy2"/>
    <dgm:cxn modelId="{EB57CB6E-994B-4A26-9951-11E4A54FEEB8}" type="presParOf" srcId="{7E794542-B0A1-445A-95FC-C448123F4C3F}" destId="{4EABAA76-0ED4-48CD-8F7A-F9D592F04AE8}" srcOrd="1" destOrd="0" presId="urn:microsoft.com/office/officeart/2005/8/layout/hierarchy2"/>
    <dgm:cxn modelId="{968F0E2D-0F09-4963-A010-3A0B0147C816}" type="presParOf" srcId="{4EABAA76-0ED4-48CD-8F7A-F9D592F04AE8}" destId="{D2A38B7B-D505-438D-8CAE-EC1E09A45375}" srcOrd="0" destOrd="0" presId="urn:microsoft.com/office/officeart/2005/8/layout/hierarchy2"/>
    <dgm:cxn modelId="{33AD2E51-5982-4158-A778-722BF318B45A}" type="presParOf" srcId="{4EABAA76-0ED4-48CD-8F7A-F9D592F04AE8}" destId="{BA580DB5-F621-422F-B0AC-7CC9A8E02CC4}" srcOrd="1" destOrd="0" presId="urn:microsoft.com/office/officeart/2005/8/layout/hierarchy2"/>
    <dgm:cxn modelId="{5730C238-84BE-4543-A91B-FAF1C6F057D1}" type="presParOf" srcId="{3ADCE015-379A-4DA1-B050-0AF1FB4FAAA0}" destId="{82A1A3C9-AF28-4B8F-8304-7BEA9022741B}" srcOrd="2" destOrd="0" presId="urn:microsoft.com/office/officeart/2005/8/layout/hierarchy2"/>
    <dgm:cxn modelId="{24A2388D-54FC-4E9E-B57D-99A5A0923B03}" type="presParOf" srcId="{82A1A3C9-AF28-4B8F-8304-7BEA9022741B}" destId="{70B0185A-10A5-4082-9EEB-726C2142B87F}" srcOrd="0" destOrd="0" presId="urn:microsoft.com/office/officeart/2005/8/layout/hierarchy2"/>
    <dgm:cxn modelId="{2427CBE5-4606-4AE9-9591-C668849CD886}" type="presParOf" srcId="{3ADCE015-379A-4DA1-B050-0AF1FB4FAAA0}" destId="{81457E04-8C4A-4E78-8CFE-4CD8A08BB603}" srcOrd="3" destOrd="0" presId="urn:microsoft.com/office/officeart/2005/8/layout/hierarchy2"/>
    <dgm:cxn modelId="{6CF02677-DA2A-4964-99A8-D666CB73DACB}" type="presParOf" srcId="{81457E04-8C4A-4E78-8CFE-4CD8A08BB603}" destId="{3A179D8B-21C3-4C7C-8385-1F895D8D67B5}" srcOrd="0" destOrd="0" presId="urn:microsoft.com/office/officeart/2005/8/layout/hierarchy2"/>
    <dgm:cxn modelId="{BA37FB33-C042-4EEA-996D-573C6F2D1A5E}" type="presParOf" srcId="{81457E04-8C4A-4E78-8CFE-4CD8A08BB603}" destId="{7E3983FB-1D0E-464B-B0C7-8CA0AD764DCB}" srcOrd="1" destOrd="0" presId="urn:microsoft.com/office/officeart/2005/8/layout/hierarchy2"/>
    <dgm:cxn modelId="{42D59616-4FA2-4B8A-80B0-C9D3C41C030C}" type="presParOf" srcId="{7E3983FB-1D0E-464B-B0C7-8CA0AD764DCB}" destId="{1FF5ED4C-2094-42E5-AB19-186AD771CB63}" srcOrd="0" destOrd="0" presId="urn:microsoft.com/office/officeart/2005/8/layout/hierarchy2"/>
    <dgm:cxn modelId="{D11A7D52-0D83-4A2F-BCFE-95587A7F0F60}" type="presParOf" srcId="{1FF5ED4C-2094-42E5-AB19-186AD771CB63}" destId="{BCAC5796-D5E0-4CA2-9EA2-E0B79BAFDE76}" srcOrd="0" destOrd="0" presId="urn:microsoft.com/office/officeart/2005/8/layout/hierarchy2"/>
    <dgm:cxn modelId="{A8C32829-7E5A-48F2-B95C-C7643FA3A682}" type="presParOf" srcId="{7E3983FB-1D0E-464B-B0C7-8CA0AD764DCB}" destId="{AE86CE96-1B80-42B5-B607-3FCE39EA5E6D}" srcOrd="1" destOrd="0" presId="urn:microsoft.com/office/officeart/2005/8/layout/hierarchy2"/>
    <dgm:cxn modelId="{C8FF273A-0D8B-4D66-A92C-88070CBB3FE8}" type="presParOf" srcId="{AE86CE96-1B80-42B5-B607-3FCE39EA5E6D}" destId="{DF492ED8-7257-4DCA-A973-CCDD11D8C1D2}" srcOrd="0" destOrd="0" presId="urn:microsoft.com/office/officeart/2005/8/layout/hierarchy2"/>
    <dgm:cxn modelId="{E3A5F47F-5C0D-40E3-880E-5964E84E2AE5}" type="presParOf" srcId="{AE86CE96-1B80-42B5-B607-3FCE39EA5E6D}" destId="{FCE6250C-0B3D-4B75-9B1D-03C3715C7C04}" srcOrd="1" destOrd="0" presId="urn:microsoft.com/office/officeart/2005/8/layout/hierarchy2"/>
    <dgm:cxn modelId="{42F0045A-76A5-42AE-971F-5AC2806CFAA0}" type="presParOf" srcId="{FCE6250C-0B3D-4B75-9B1D-03C3715C7C04}" destId="{753FD0E6-6DE9-4F27-ABB7-FC4E115661BD}" srcOrd="0" destOrd="0" presId="urn:microsoft.com/office/officeart/2005/8/layout/hierarchy2"/>
    <dgm:cxn modelId="{C58E0435-F29D-4B76-AF61-90FCD81521D3}" type="presParOf" srcId="{753FD0E6-6DE9-4F27-ABB7-FC4E115661BD}" destId="{0D2A3688-2095-4DCC-9036-E817DCE0EB51}" srcOrd="0" destOrd="0" presId="urn:microsoft.com/office/officeart/2005/8/layout/hierarchy2"/>
    <dgm:cxn modelId="{AAA96B32-B9AA-48FB-8A3E-75EE212D7565}" type="presParOf" srcId="{FCE6250C-0B3D-4B75-9B1D-03C3715C7C04}" destId="{41A2A52D-1CF9-4C35-BB1C-BE78823BEF89}" srcOrd="1" destOrd="0" presId="urn:microsoft.com/office/officeart/2005/8/layout/hierarchy2"/>
    <dgm:cxn modelId="{80F52932-E47E-485E-B399-DC48EF0B2AE2}" type="presParOf" srcId="{41A2A52D-1CF9-4C35-BB1C-BE78823BEF89}" destId="{D5F883CA-AFB8-47B8-BEE1-D528ADCE38BD}" srcOrd="0" destOrd="0" presId="urn:microsoft.com/office/officeart/2005/8/layout/hierarchy2"/>
    <dgm:cxn modelId="{4CD99BCE-8D04-4091-970F-BC10EC0039F9}" type="presParOf" srcId="{41A2A52D-1CF9-4C35-BB1C-BE78823BEF89}" destId="{DC70D6B7-42DA-4F7D-8AFE-4051669F03C1}" srcOrd="1" destOrd="0" presId="urn:microsoft.com/office/officeart/2005/8/layout/hierarchy2"/>
    <dgm:cxn modelId="{92D0681E-DDB6-41F2-A79D-2DE1B854A4A3}" type="presParOf" srcId="{DC70D6B7-42DA-4F7D-8AFE-4051669F03C1}" destId="{A039F8AA-38D7-4297-9FF1-3040161D29DA}" srcOrd="0" destOrd="0" presId="urn:microsoft.com/office/officeart/2005/8/layout/hierarchy2"/>
    <dgm:cxn modelId="{C1180062-FF17-4E95-A6A5-9C8C4BE0EA04}" type="presParOf" srcId="{A039F8AA-38D7-4297-9FF1-3040161D29DA}" destId="{40A7A0BF-4BF0-4C7E-82A5-6419EE6FE635}" srcOrd="0" destOrd="0" presId="urn:microsoft.com/office/officeart/2005/8/layout/hierarchy2"/>
    <dgm:cxn modelId="{499DB1C7-24CF-4069-A55F-240C78C51837}" type="presParOf" srcId="{DC70D6B7-42DA-4F7D-8AFE-4051669F03C1}" destId="{51F12BDF-9F6A-482E-A213-EF206E0FA8A2}" srcOrd="1" destOrd="0" presId="urn:microsoft.com/office/officeart/2005/8/layout/hierarchy2"/>
    <dgm:cxn modelId="{963612BF-9286-400E-A5E8-32593A3638B0}" type="presParOf" srcId="{51F12BDF-9F6A-482E-A213-EF206E0FA8A2}" destId="{9197BC2C-54DC-41F7-876A-9145A30175AB}" srcOrd="0" destOrd="0" presId="urn:microsoft.com/office/officeart/2005/8/layout/hierarchy2"/>
    <dgm:cxn modelId="{355BAC29-B8B3-4587-AB17-57A5507775C5}" type="presParOf" srcId="{51F12BDF-9F6A-482E-A213-EF206E0FA8A2}" destId="{13A9C59E-F731-4225-878D-4593E2A3C37C}" srcOrd="1" destOrd="0" presId="urn:microsoft.com/office/officeart/2005/8/layout/hierarchy2"/>
    <dgm:cxn modelId="{FF34BEA8-730C-4B85-B7AD-E3921A611674}" type="presParOf" srcId="{13A9C59E-F731-4225-878D-4593E2A3C37C}" destId="{B066832F-E973-445E-B1DE-6626F1620126}" srcOrd="0" destOrd="0" presId="urn:microsoft.com/office/officeart/2005/8/layout/hierarchy2"/>
    <dgm:cxn modelId="{3FA07D57-CDA4-490C-BA7F-DFF2E47AA913}" type="presParOf" srcId="{B066832F-E973-445E-B1DE-6626F1620126}" destId="{779E3B06-32E7-47D6-85AF-9F0DB308445D}" srcOrd="0" destOrd="0" presId="urn:microsoft.com/office/officeart/2005/8/layout/hierarchy2"/>
    <dgm:cxn modelId="{608BD3C7-5965-4A76-ACAA-A4805F76BD8E}" type="presParOf" srcId="{13A9C59E-F731-4225-878D-4593E2A3C37C}" destId="{5B8E0FA6-9D2A-4BC6-95C0-773F9A9F5D55}" srcOrd="1" destOrd="0" presId="urn:microsoft.com/office/officeart/2005/8/layout/hierarchy2"/>
    <dgm:cxn modelId="{F4E68130-AA9E-4BBD-9ECA-901C86D20B17}" type="presParOf" srcId="{5B8E0FA6-9D2A-4BC6-95C0-773F9A9F5D55}" destId="{32AC4FD9-DB94-482A-9649-7A08C835D9FB}" srcOrd="0" destOrd="0" presId="urn:microsoft.com/office/officeart/2005/8/layout/hierarchy2"/>
    <dgm:cxn modelId="{92564E85-ED2A-4358-8D3B-BCC5D8DD32F4}" type="presParOf" srcId="{5B8E0FA6-9D2A-4BC6-95C0-773F9A9F5D55}" destId="{8D6A86CA-71E5-4C20-90DD-A3C1B25DCB4C}" srcOrd="1" destOrd="0" presId="urn:microsoft.com/office/officeart/2005/8/layout/hierarchy2"/>
    <dgm:cxn modelId="{4DAEA74E-2461-4E4E-8DA4-0AC99C3E868D}" type="presParOf" srcId="{8D6A86CA-71E5-4C20-90DD-A3C1B25DCB4C}" destId="{153F4508-2F14-4F62-9CDD-49E11997BC9D}" srcOrd="0" destOrd="0" presId="urn:microsoft.com/office/officeart/2005/8/layout/hierarchy2"/>
    <dgm:cxn modelId="{B5C8EB3B-4A5F-4B08-9A13-3AB322C7B9A8}" type="presParOf" srcId="{153F4508-2F14-4F62-9CDD-49E11997BC9D}" destId="{698A045C-97C5-4856-A74E-E9E79C624AB7}" srcOrd="0" destOrd="0" presId="urn:microsoft.com/office/officeart/2005/8/layout/hierarchy2"/>
    <dgm:cxn modelId="{CBFFF653-5D92-4824-8DEE-6359603B0C7E}" type="presParOf" srcId="{8D6A86CA-71E5-4C20-90DD-A3C1B25DCB4C}" destId="{30FB40BB-EAC5-4D0E-9E9B-F729F92F0565}" srcOrd="1" destOrd="0" presId="urn:microsoft.com/office/officeart/2005/8/layout/hierarchy2"/>
    <dgm:cxn modelId="{1A4C5D89-542C-4F89-BB60-87E2FE0FAEC7}" type="presParOf" srcId="{30FB40BB-EAC5-4D0E-9E9B-F729F92F0565}" destId="{49E74F65-E45A-4CE2-9932-E3B6F36804D5}" srcOrd="0" destOrd="0" presId="urn:microsoft.com/office/officeart/2005/8/layout/hierarchy2"/>
    <dgm:cxn modelId="{B34C3D77-E222-4877-9E31-933A1E8C3719}" type="presParOf" srcId="{30FB40BB-EAC5-4D0E-9E9B-F729F92F0565}" destId="{3DB0E392-49D7-4228-A52B-9B38DE896E3C}" srcOrd="1" destOrd="0" presId="urn:microsoft.com/office/officeart/2005/8/layout/hierarchy2"/>
  </dgm:cxnLst>
  <dgm:bg/>
  <dgm:whole/>
  <dgm:extLst>
    <a:ext uri="http://schemas.microsoft.com/office/drawing/2008/diagram">
      <dsp:dataModelExt xmlns:dsp="http://schemas.microsoft.com/office/drawing/2008/diagram" relId="rId7"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D92A483E-584E-4BE9-9E81-16EB31341344}">
      <dsp:nvSpPr>
        <dsp:cNvPr id="0" name=""/>
        <dsp:cNvSpPr/>
      </dsp:nvSpPr>
      <dsp:spPr>
        <a:xfrm>
          <a:off x="344" y="2261693"/>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Perspective: Renal Care System</a:t>
          </a:r>
        </a:p>
      </dsp:txBody>
      <dsp:txXfrm>
        <a:off x="16088" y="2277437"/>
        <a:ext cx="1043558" cy="506035"/>
      </dsp:txXfrm>
    </dsp:sp>
    <dsp:sp modelId="{BC67764E-F868-4BC7-88D4-3FB4FCFB2B03}">
      <dsp:nvSpPr>
        <dsp:cNvPr id="0" name=""/>
        <dsp:cNvSpPr/>
      </dsp:nvSpPr>
      <dsp:spPr>
        <a:xfrm rot="17230830">
          <a:off x="562500" y="1826025"/>
          <a:ext cx="1455800" cy="18017"/>
        </a:xfrm>
        <a:custGeom>
          <a:avLst/>
          <a:gdLst/>
          <a:ahLst/>
          <a:cxnLst/>
          <a:rect l="0" t="0" r="0" b="0"/>
          <a:pathLst>
            <a:path>
              <a:moveTo>
                <a:pt x="0" y="9008"/>
              </a:moveTo>
              <a:lnTo>
                <a:pt x="1455800" y="9008"/>
              </a:lnTo>
            </a:path>
          </a:pathLst>
        </a:custGeom>
        <a:noFill/>
        <a:ln w="1905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254005" y="1798639"/>
        <a:ext cx="72790" cy="72790"/>
      </dsp:txXfrm>
    </dsp:sp>
    <dsp:sp modelId="{58126035-A1CC-4804-BB45-A7E54E1B14D3}">
      <dsp:nvSpPr>
        <dsp:cNvPr id="0" name=""/>
        <dsp:cNvSpPr/>
      </dsp:nvSpPr>
      <dsp:spPr>
        <a:xfrm>
          <a:off x="1505409"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Conservative Care</a:t>
          </a:r>
        </a:p>
      </dsp:txBody>
      <dsp:txXfrm>
        <a:off x="1521153" y="886596"/>
        <a:ext cx="1043558" cy="506035"/>
      </dsp:txXfrm>
    </dsp:sp>
    <dsp:sp modelId="{B857DDB7-FDF2-4AB5-B907-54C4D3C617BF}">
      <dsp:nvSpPr>
        <dsp:cNvPr id="0" name=""/>
        <dsp:cNvSpPr/>
      </dsp:nvSpPr>
      <dsp:spPr>
        <a:xfrm>
          <a:off x="2580455"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84714" y="1128863"/>
        <a:ext cx="21500" cy="21500"/>
      </dsp:txXfrm>
    </dsp:sp>
    <dsp:sp modelId="{28D930D6-D1CC-4AEA-BF56-1A0057FC6818}">
      <dsp:nvSpPr>
        <dsp:cNvPr id="0" name=""/>
        <dsp:cNvSpPr/>
      </dsp:nvSpPr>
      <dsp:spPr>
        <a:xfrm>
          <a:off x="3010473" y="1077414"/>
          <a:ext cx="1075046" cy="124398"/>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4445" tIns="4445" rIns="4445" bIns="4445" numCol="1" spcCol="1270" anchor="ctr" anchorCtr="0">
          <a:noAutofit/>
        </a:bodyPr>
        <a:lstStyle/>
        <a:p>
          <a:pPr marL="0" lvl="0" indent="0" algn="ctr" defTabSz="311150">
            <a:lnSpc>
              <a:spcPct val="90000"/>
            </a:lnSpc>
            <a:spcBef>
              <a:spcPct val="0"/>
            </a:spcBef>
            <a:spcAft>
              <a:spcPct val="35000"/>
            </a:spcAft>
            <a:buNone/>
          </a:pPr>
          <a:endParaRPr lang="en-GB" sz="700" kern="1200"/>
        </a:p>
      </dsp:txBody>
      <dsp:txXfrm>
        <a:off x="3014116" y="1081057"/>
        <a:ext cx="1067760" cy="117112"/>
      </dsp:txXfrm>
    </dsp:sp>
    <dsp:sp modelId="{D465B9D5-76C5-460F-B75F-1EEBB1AEF4BD}">
      <dsp:nvSpPr>
        <dsp:cNvPr id="0" name=""/>
        <dsp:cNvSpPr/>
      </dsp:nvSpPr>
      <dsp:spPr>
        <a:xfrm>
          <a:off x="4085519"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1128863"/>
        <a:ext cx="21500" cy="21500"/>
      </dsp:txXfrm>
    </dsp:sp>
    <dsp:sp modelId="{C33C51E7-9AC2-4AF1-AB1C-DF47A3951776}">
      <dsp:nvSpPr>
        <dsp:cNvPr id="0" name=""/>
        <dsp:cNvSpPr/>
      </dsp:nvSpPr>
      <dsp:spPr>
        <a:xfrm>
          <a:off x="4515538"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delivering conservative care</a:t>
          </a:r>
        </a:p>
      </dsp:txBody>
      <dsp:txXfrm>
        <a:off x="4531282" y="886596"/>
        <a:ext cx="1043558" cy="506035"/>
      </dsp:txXfrm>
    </dsp:sp>
    <dsp:sp modelId="{7FFC39D3-0546-4338-A03D-3BEA5A9F48D1}">
      <dsp:nvSpPr>
        <dsp:cNvPr id="0" name=""/>
        <dsp:cNvSpPr/>
      </dsp:nvSpPr>
      <dsp:spPr>
        <a:xfrm>
          <a:off x="5590584"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1128863"/>
        <a:ext cx="21500" cy="21500"/>
      </dsp:txXfrm>
    </dsp:sp>
    <dsp:sp modelId="{DEAE5233-53DC-48B0-9092-BF78F921775F}">
      <dsp:nvSpPr>
        <dsp:cNvPr id="0" name=""/>
        <dsp:cNvSpPr/>
      </dsp:nvSpPr>
      <dsp:spPr>
        <a:xfrm>
          <a:off x="6020602"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886596"/>
        <a:ext cx="1043558" cy="506035"/>
      </dsp:txXfrm>
    </dsp:sp>
    <dsp:sp modelId="{6C07057A-0993-4A4C-A1FC-7E3C90630CF5}">
      <dsp:nvSpPr>
        <dsp:cNvPr id="0" name=""/>
        <dsp:cNvSpPr/>
      </dsp:nvSpPr>
      <dsp:spPr>
        <a:xfrm>
          <a:off x="7095648"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1128863"/>
        <a:ext cx="21500" cy="21500"/>
      </dsp:txXfrm>
    </dsp:sp>
    <dsp:sp modelId="{BB0A11FC-F935-4893-9E1A-A94FFAC4AE10}">
      <dsp:nvSpPr>
        <dsp:cNvPr id="0" name=""/>
        <dsp:cNvSpPr/>
      </dsp:nvSpPr>
      <dsp:spPr>
        <a:xfrm>
          <a:off x="7525667"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886596"/>
        <a:ext cx="1043558" cy="506035"/>
      </dsp:txXfrm>
    </dsp:sp>
    <dsp:sp modelId="{79E0999D-89C1-4FE8-831F-E869D069138D}">
      <dsp:nvSpPr>
        <dsp:cNvPr id="0" name=""/>
        <dsp:cNvSpPr/>
      </dsp:nvSpPr>
      <dsp:spPr>
        <a:xfrm>
          <a:off x="8600713"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1128863"/>
        <a:ext cx="21500" cy="21500"/>
      </dsp:txXfrm>
    </dsp:sp>
    <dsp:sp modelId="{95C61D53-300C-4DE4-870C-DD6C24935C0C}">
      <dsp:nvSpPr>
        <dsp:cNvPr id="0" name=""/>
        <dsp:cNvSpPr/>
      </dsp:nvSpPr>
      <dsp:spPr>
        <a:xfrm>
          <a:off x="9030731"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886596"/>
        <a:ext cx="1043558" cy="506035"/>
      </dsp:txXfrm>
    </dsp:sp>
    <dsp:sp modelId="{BB5AFC37-3889-42CA-8944-D3A53523793F}">
      <dsp:nvSpPr>
        <dsp:cNvPr id="0" name=""/>
        <dsp:cNvSpPr/>
      </dsp:nvSpPr>
      <dsp:spPr>
        <a:xfrm>
          <a:off x="10105777" y="1130605"/>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1128863"/>
        <a:ext cx="21500" cy="21500"/>
      </dsp:txXfrm>
    </dsp:sp>
    <dsp:sp modelId="{158FC5B0-BD1E-485A-8B01-82528D1E9C2E}">
      <dsp:nvSpPr>
        <dsp:cNvPr id="0" name=""/>
        <dsp:cNvSpPr/>
      </dsp:nvSpPr>
      <dsp:spPr>
        <a:xfrm>
          <a:off x="10535796" y="870852"/>
          <a:ext cx="1075046" cy="537523"/>
        </a:xfrm>
        <a:prstGeom prst="roundRect">
          <a:avLst>
            <a:gd name="adj" fmla="val 10000"/>
          </a:avLst>
        </a:prstGeom>
        <a:solidFill>
          <a:schemeClr val="tx2">
            <a:lumMod val="10000"/>
            <a:lumOff val="9000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CC</a:t>
          </a:r>
        </a:p>
      </dsp:txBody>
      <dsp:txXfrm>
        <a:off x="10551540" y="886596"/>
        <a:ext cx="1043558" cy="506035"/>
      </dsp:txXfrm>
    </dsp:sp>
    <dsp:sp modelId="{91D01C26-9709-41EC-A65C-3D106AAC4F07}">
      <dsp:nvSpPr>
        <dsp:cNvPr id="0" name=""/>
        <dsp:cNvSpPr/>
      </dsp:nvSpPr>
      <dsp:spPr>
        <a:xfrm rot="20413970">
          <a:off x="1061928" y="2444177"/>
          <a:ext cx="456943" cy="18017"/>
        </a:xfrm>
        <a:custGeom>
          <a:avLst/>
          <a:gdLst/>
          <a:ahLst/>
          <a:cxnLst/>
          <a:rect l="0" t="0" r="0" b="0"/>
          <a:pathLst>
            <a:path>
              <a:moveTo>
                <a:pt x="0" y="9008"/>
              </a:moveTo>
              <a:lnTo>
                <a:pt x="456943" y="9008"/>
              </a:lnTo>
            </a:path>
          </a:pathLst>
        </a:custGeom>
        <a:noFill/>
        <a:ln w="1905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278976" y="2441762"/>
        <a:ext cx="22847" cy="22847"/>
      </dsp:txXfrm>
    </dsp:sp>
    <dsp:sp modelId="{422A4A3A-F6EB-449A-8901-797127807065}">
      <dsp:nvSpPr>
        <dsp:cNvPr id="0" name=""/>
        <dsp:cNvSpPr/>
      </dsp:nvSpPr>
      <dsp:spPr>
        <a:xfrm>
          <a:off x="1505409"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Dialysis</a:t>
          </a:r>
        </a:p>
      </dsp:txBody>
      <dsp:txXfrm>
        <a:off x="1521153" y="2122899"/>
        <a:ext cx="1043558" cy="506035"/>
      </dsp:txXfrm>
    </dsp:sp>
    <dsp:sp modelId="{BE7BB172-278F-4B9D-AD2A-54BA10798C46}">
      <dsp:nvSpPr>
        <dsp:cNvPr id="0" name=""/>
        <dsp:cNvSpPr/>
      </dsp:nvSpPr>
      <dsp:spPr>
        <a:xfrm rot="18289469">
          <a:off x="2418958" y="2057832"/>
          <a:ext cx="753011" cy="18017"/>
        </a:xfrm>
        <a:custGeom>
          <a:avLst/>
          <a:gdLst/>
          <a:ahLst/>
          <a:cxnLst/>
          <a:rect l="0" t="0" r="0" b="0"/>
          <a:pathLst>
            <a:path>
              <a:moveTo>
                <a:pt x="0" y="9008"/>
              </a:moveTo>
              <a:lnTo>
                <a:pt x="753011"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76639" y="2048016"/>
        <a:ext cx="37650" cy="37650"/>
      </dsp:txXfrm>
    </dsp:sp>
    <dsp:sp modelId="{0D28B1C1-D54B-4DB5-9F81-53E245C42E6F}">
      <dsp:nvSpPr>
        <dsp:cNvPr id="0" name=""/>
        <dsp:cNvSpPr/>
      </dsp:nvSpPr>
      <dsp:spPr>
        <a:xfrm>
          <a:off x="3010473"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ICHD</a:t>
          </a:r>
        </a:p>
      </dsp:txBody>
      <dsp:txXfrm>
        <a:off x="3026217" y="1504748"/>
        <a:ext cx="1043558" cy="506035"/>
      </dsp:txXfrm>
    </dsp:sp>
    <dsp:sp modelId="{C880F6F0-42D8-4F70-8552-49AAF1D51B85}">
      <dsp:nvSpPr>
        <dsp:cNvPr id="0" name=""/>
        <dsp:cNvSpPr/>
      </dsp:nvSpPr>
      <dsp:spPr>
        <a:xfrm>
          <a:off x="4085519" y="1748757"/>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1747015"/>
        <a:ext cx="21500" cy="21500"/>
      </dsp:txXfrm>
    </dsp:sp>
    <dsp:sp modelId="{FDF57252-0485-4E94-9518-819B97E653A5}">
      <dsp:nvSpPr>
        <dsp:cNvPr id="0" name=""/>
        <dsp:cNvSpPr/>
      </dsp:nvSpPr>
      <dsp:spPr>
        <a:xfrm>
          <a:off x="4515538"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delivering ICHD  per person</a:t>
          </a:r>
        </a:p>
      </dsp:txBody>
      <dsp:txXfrm>
        <a:off x="4531282" y="1504748"/>
        <a:ext cx="1043558" cy="506035"/>
      </dsp:txXfrm>
    </dsp:sp>
    <dsp:sp modelId="{C798FBDF-6E1D-47DE-AFF4-FF2F3558A01E}">
      <dsp:nvSpPr>
        <dsp:cNvPr id="0" name=""/>
        <dsp:cNvSpPr/>
      </dsp:nvSpPr>
      <dsp:spPr>
        <a:xfrm>
          <a:off x="5590584" y="1748757"/>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1747015"/>
        <a:ext cx="21500" cy="21500"/>
      </dsp:txXfrm>
    </dsp:sp>
    <dsp:sp modelId="{299DB7B5-147A-4B56-BD71-258F2E319699}">
      <dsp:nvSpPr>
        <dsp:cNvPr id="0" name=""/>
        <dsp:cNvSpPr/>
      </dsp:nvSpPr>
      <dsp:spPr>
        <a:xfrm>
          <a:off x="6020602"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1504748"/>
        <a:ext cx="1043558" cy="506035"/>
      </dsp:txXfrm>
    </dsp:sp>
    <dsp:sp modelId="{2885D908-1890-4DF2-AA56-5F58E916BA5F}">
      <dsp:nvSpPr>
        <dsp:cNvPr id="0" name=""/>
        <dsp:cNvSpPr/>
      </dsp:nvSpPr>
      <dsp:spPr>
        <a:xfrm>
          <a:off x="7095648" y="1748757"/>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1747015"/>
        <a:ext cx="21500" cy="21500"/>
      </dsp:txXfrm>
    </dsp:sp>
    <dsp:sp modelId="{75C27B92-6CC4-4B40-95A9-71E9F09AC553}">
      <dsp:nvSpPr>
        <dsp:cNvPr id="0" name=""/>
        <dsp:cNvSpPr/>
      </dsp:nvSpPr>
      <dsp:spPr>
        <a:xfrm>
          <a:off x="7525667"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1504748"/>
        <a:ext cx="1043558" cy="506035"/>
      </dsp:txXfrm>
    </dsp:sp>
    <dsp:sp modelId="{8FCFA1DF-8D7B-4AE3-A13D-E9E0A8D4269E}">
      <dsp:nvSpPr>
        <dsp:cNvPr id="0" name=""/>
        <dsp:cNvSpPr/>
      </dsp:nvSpPr>
      <dsp:spPr>
        <a:xfrm>
          <a:off x="8600713" y="1748757"/>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1747015"/>
        <a:ext cx="21500" cy="21500"/>
      </dsp:txXfrm>
    </dsp:sp>
    <dsp:sp modelId="{B52201AD-DF5C-4637-95C6-49BD23B1F50B}">
      <dsp:nvSpPr>
        <dsp:cNvPr id="0" name=""/>
        <dsp:cNvSpPr/>
      </dsp:nvSpPr>
      <dsp:spPr>
        <a:xfrm>
          <a:off x="9030731"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1504748"/>
        <a:ext cx="1043558" cy="506035"/>
      </dsp:txXfrm>
    </dsp:sp>
    <dsp:sp modelId="{CB3877FC-91B8-4FC2-9D6B-E11F9D0115BE}">
      <dsp:nvSpPr>
        <dsp:cNvPr id="0" name=""/>
        <dsp:cNvSpPr/>
      </dsp:nvSpPr>
      <dsp:spPr>
        <a:xfrm>
          <a:off x="10105777" y="1748757"/>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1747015"/>
        <a:ext cx="21500" cy="21500"/>
      </dsp:txXfrm>
    </dsp:sp>
    <dsp:sp modelId="{A844538E-617C-47D5-90B1-EC4C304BD896}">
      <dsp:nvSpPr>
        <dsp:cNvPr id="0" name=""/>
        <dsp:cNvSpPr/>
      </dsp:nvSpPr>
      <dsp:spPr>
        <a:xfrm>
          <a:off x="10535796" y="148900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ICHD</a:t>
          </a:r>
        </a:p>
      </dsp:txBody>
      <dsp:txXfrm>
        <a:off x="10551540" y="1504748"/>
        <a:ext cx="1043558" cy="506035"/>
      </dsp:txXfrm>
    </dsp:sp>
    <dsp:sp modelId="{1DBCEC87-5760-4266-8E86-CC6FC7973A3C}">
      <dsp:nvSpPr>
        <dsp:cNvPr id="0" name=""/>
        <dsp:cNvSpPr/>
      </dsp:nvSpPr>
      <dsp:spPr>
        <a:xfrm>
          <a:off x="2580455"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84714" y="2365166"/>
        <a:ext cx="21500" cy="21500"/>
      </dsp:txXfrm>
    </dsp:sp>
    <dsp:sp modelId="{B0BF95EF-E3AD-447A-B62C-646AC58C325F}">
      <dsp:nvSpPr>
        <dsp:cNvPr id="0" name=""/>
        <dsp:cNvSpPr/>
      </dsp:nvSpPr>
      <dsp:spPr>
        <a:xfrm>
          <a:off x="3010473"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HHD</a:t>
          </a:r>
        </a:p>
      </dsp:txBody>
      <dsp:txXfrm>
        <a:off x="3026217" y="2122899"/>
        <a:ext cx="1043558" cy="506035"/>
      </dsp:txXfrm>
    </dsp:sp>
    <dsp:sp modelId="{92354185-DBCA-4A21-84F8-224DFD5AB4AF}">
      <dsp:nvSpPr>
        <dsp:cNvPr id="0" name=""/>
        <dsp:cNvSpPr/>
      </dsp:nvSpPr>
      <dsp:spPr>
        <a:xfrm>
          <a:off x="4085519"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2365166"/>
        <a:ext cx="21500" cy="21500"/>
      </dsp:txXfrm>
    </dsp:sp>
    <dsp:sp modelId="{7E949926-E243-4CA5-864B-20D791018212}">
      <dsp:nvSpPr>
        <dsp:cNvPr id="0" name=""/>
        <dsp:cNvSpPr/>
      </dsp:nvSpPr>
      <dsp:spPr>
        <a:xfrm>
          <a:off x="4515538"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delivering ICHD </a:t>
          </a:r>
        </a:p>
      </dsp:txBody>
      <dsp:txXfrm>
        <a:off x="4531282" y="2122899"/>
        <a:ext cx="1043558" cy="506035"/>
      </dsp:txXfrm>
    </dsp:sp>
    <dsp:sp modelId="{5B8BE731-C7C1-49D4-BB62-68D307B5CEEF}">
      <dsp:nvSpPr>
        <dsp:cNvPr id="0" name=""/>
        <dsp:cNvSpPr/>
      </dsp:nvSpPr>
      <dsp:spPr>
        <a:xfrm>
          <a:off x="5590584"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2365166"/>
        <a:ext cx="21500" cy="21500"/>
      </dsp:txXfrm>
    </dsp:sp>
    <dsp:sp modelId="{44DCE07A-E41F-4B9A-9AFD-AF1F7CCED65A}">
      <dsp:nvSpPr>
        <dsp:cNvPr id="0" name=""/>
        <dsp:cNvSpPr/>
      </dsp:nvSpPr>
      <dsp:spPr>
        <a:xfrm>
          <a:off x="6020602"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2122899"/>
        <a:ext cx="1043558" cy="506035"/>
      </dsp:txXfrm>
    </dsp:sp>
    <dsp:sp modelId="{D935D560-7774-4779-8BD2-13BFC1D3BACF}">
      <dsp:nvSpPr>
        <dsp:cNvPr id="0" name=""/>
        <dsp:cNvSpPr/>
      </dsp:nvSpPr>
      <dsp:spPr>
        <a:xfrm>
          <a:off x="7095648"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2365166"/>
        <a:ext cx="21500" cy="21500"/>
      </dsp:txXfrm>
    </dsp:sp>
    <dsp:sp modelId="{98A33CD7-77E9-4331-856C-70FB910FFA5F}">
      <dsp:nvSpPr>
        <dsp:cNvPr id="0" name=""/>
        <dsp:cNvSpPr/>
      </dsp:nvSpPr>
      <dsp:spPr>
        <a:xfrm>
          <a:off x="7525667"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2122899"/>
        <a:ext cx="1043558" cy="506035"/>
      </dsp:txXfrm>
    </dsp:sp>
    <dsp:sp modelId="{2F1E8219-B659-41F3-AE9B-2584FF7876EF}">
      <dsp:nvSpPr>
        <dsp:cNvPr id="0" name=""/>
        <dsp:cNvSpPr/>
      </dsp:nvSpPr>
      <dsp:spPr>
        <a:xfrm>
          <a:off x="8600713"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2365166"/>
        <a:ext cx="21500" cy="21500"/>
      </dsp:txXfrm>
    </dsp:sp>
    <dsp:sp modelId="{0C4019F4-33C5-40BC-8599-8F1DAB8B9326}">
      <dsp:nvSpPr>
        <dsp:cNvPr id="0" name=""/>
        <dsp:cNvSpPr/>
      </dsp:nvSpPr>
      <dsp:spPr>
        <a:xfrm>
          <a:off x="9030731"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2122899"/>
        <a:ext cx="1043558" cy="506035"/>
      </dsp:txXfrm>
    </dsp:sp>
    <dsp:sp modelId="{70818E4E-65CA-4391-A769-C16EF8DF3D1E}">
      <dsp:nvSpPr>
        <dsp:cNvPr id="0" name=""/>
        <dsp:cNvSpPr/>
      </dsp:nvSpPr>
      <dsp:spPr>
        <a:xfrm>
          <a:off x="10105777" y="2366908"/>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2365166"/>
        <a:ext cx="21500" cy="21500"/>
      </dsp:txXfrm>
    </dsp:sp>
    <dsp:sp modelId="{3CC85C9C-3AD6-42D8-8BB3-F6239BEC3592}">
      <dsp:nvSpPr>
        <dsp:cNvPr id="0" name=""/>
        <dsp:cNvSpPr/>
      </dsp:nvSpPr>
      <dsp:spPr>
        <a:xfrm>
          <a:off x="10535796" y="2107155"/>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HHD</a:t>
          </a:r>
        </a:p>
      </dsp:txBody>
      <dsp:txXfrm>
        <a:off x="10551540" y="2122899"/>
        <a:ext cx="1043558" cy="506035"/>
      </dsp:txXfrm>
    </dsp:sp>
    <dsp:sp modelId="{4D5AB6F6-FFAC-458C-B555-327068430A50}">
      <dsp:nvSpPr>
        <dsp:cNvPr id="0" name=""/>
        <dsp:cNvSpPr/>
      </dsp:nvSpPr>
      <dsp:spPr>
        <a:xfrm rot="3310531">
          <a:off x="2418958" y="2675984"/>
          <a:ext cx="753011" cy="18017"/>
        </a:xfrm>
        <a:custGeom>
          <a:avLst/>
          <a:gdLst/>
          <a:ahLst/>
          <a:cxnLst/>
          <a:rect l="0" t="0" r="0" b="0"/>
          <a:pathLst>
            <a:path>
              <a:moveTo>
                <a:pt x="0" y="9008"/>
              </a:moveTo>
              <a:lnTo>
                <a:pt x="753011"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76639" y="2666167"/>
        <a:ext cx="37650" cy="37650"/>
      </dsp:txXfrm>
    </dsp:sp>
    <dsp:sp modelId="{761806C1-4E14-4F20-8E3F-BE484331CAC1}">
      <dsp:nvSpPr>
        <dsp:cNvPr id="0" name=""/>
        <dsp:cNvSpPr/>
      </dsp:nvSpPr>
      <dsp:spPr>
        <a:xfrm>
          <a:off x="3010473"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PD</a:t>
          </a:r>
        </a:p>
      </dsp:txBody>
      <dsp:txXfrm>
        <a:off x="3026217" y="2741051"/>
        <a:ext cx="1043558" cy="506035"/>
      </dsp:txXfrm>
    </dsp:sp>
    <dsp:sp modelId="{C80259AB-F3D9-4E2B-A527-B7387593D480}">
      <dsp:nvSpPr>
        <dsp:cNvPr id="0" name=""/>
        <dsp:cNvSpPr/>
      </dsp:nvSpPr>
      <dsp:spPr>
        <a:xfrm>
          <a:off x="4085519" y="2985059"/>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2983318"/>
        <a:ext cx="21500" cy="21500"/>
      </dsp:txXfrm>
    </dsp:sp>
    <dsp:sp modelId="{FA7E10B4-455E-40D8-9094-7701C2446506}">
      <dsp:nvSpPr>
        <dsp:cNvPr id="0" name=""/>
        <dsp:cNvSpPr/>
      </dsp:nvSpPr>
      <dsp:spPr>
        <a:xfrm>
          <a:off x="4515538"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delivering ICHD </a:t>
          </a:r>
        </a:p>
      </dsp:txBody>
      <dsp:txXfrm>
        <a:off x="4531282" y="2741051"/>
        <a:ext cx="1043558" cy="506035"/>
      </dsp:txXfrm>
    </dsp:sp>
    <dsp:sp modelId="{AD510A24-47D6-4085-A1F6-3DD4D3724B2A}">
      <dsp:nvSpPr>
        <dsp:cNvPr id="0" name=""/>
        <dsp:cNvSpPr/>
      </dsp:nvSpPr>
      <dsp:spPr>
        <a:xfrm>
          <a:off x="5590584" y="2985059"/>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2983318"/>
        <a:ext cx="21500" cy="21500"/>
      </dsp:txXfrm>
    </dsp:sp>
    <dsp:sp modelId="{F87CEE2C-13F7-47DD-A4A5-8DD2DBA4CAB0}">
      <dsp:nvSpPr>
        <dsp:cNvPr id="0" name=""/>
        <dsp:cNvSpPr/>
      </dsp:nvSpPr>
      <dsp:spPr>
        <a:xfrm>
          <a:off x="6020602"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2741051"/>
        <a:ext cx="1043558" cy="506035"/>
      </dsp:txXfrm>
    </dsp:sp>
    <dsp:sp modelId="{33D7B50A-568A-404F-AF6B-F637E120BDDA}">
      <dsp:nvSpPr>
        <dsp:cNvPr id="0" name=""/>
        <dsp:cNvSpPr/>
      </dsp:nvSpPr>
      <dsp:spPr>
        <a:xfrm>
          <a:off x="7095648" y="2985059"/>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2983318"/>
        <a:ext cx="21500" cy="21500"/>
      </dsp:txXfrm>
    </dsp:sp>
    <dsp:sp modelId="{3C1BBCC7-E79E-4814-8297-5BB246104496}">
      <dsp:nvSpPr>
        <dsp:cNvPr id="0" name=""/>
        <dsp:cNvSpPr/>
      </dsp:nvSpPr>
      <dsp:spPr>
        <a:xfrm>
          <a:off x="7525667"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2741051"/>
        <a:ext cx="1043558" cy="506035"/>
      </dsp:txXfrm>
    </dsp:sp>
    <dsp:sp modelId="{121D9905-B3A4-436E-A1D5-F457DC0FB490}">
      <dsp:nvSpPr>
        <dsp:cNvPr id="0" name=""/>
        <dsp:cNvSpPr/>
      </dsp:nvSpPr>
      <dsp:spPr>
        <a:xfrm>
          <a:off x="8600713" y="2985059"/>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2983318"/>
        <a:ext cx="21500" cy="21500"/>
      </dsp:txXfrm>
    </dsp:sp>
    <dsp:sp modelId="{004785DF-F189-4494-91D0-C897BF691894}">
      <dsp:nvSpPr>
        <dsp:cNvPr id="0" name=""/>
        <dsp:cNvSpPr/>
      </dsp:nvSpPr>
      <dsp:spPr>
        <a:xfrm>
          <a:off x="9030731"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2741051"/>
        <a:ext cx="1043558" cy="506035"/>
      </dsp:txXfrm>
    </dsp:sp>
    <dsp:sp modelId="{9E92B4C6-4361-4131-86BB-BDACFCA82FA4}">
      <dsp:nvSpPr>
        <dsp:cNvPr id="0" name=""/>
        <dsp:cNvSpPr/>
      </dsp:nvSpPr>
      <dsp:spPr>
        <a:xfrm>
          <a:off x="10105777" y="2985059"/>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2983318"/>
        <a:ext cx="21500" cy="21500"/>
      </dsp:txXfrm>
    </dsp:sp>
    <dsp:sp modelId="{EA1EA348-E697-47A0-BB9C-C79C60FA0661}">
      <dsp:nvSpPr>
        <dsp:cNvPr id="0" name=""/>
        <dsp:cNvSpPr/>
      </dsp:nvSpPr>
      <dsp:spPr>
        <a:xfrm>
          <a:off x="10535796" y="2725307"/>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PD</a:t>
          </a:r>
        </a:p>
      </dsp:txBody>
      <dsp:txXfrm>
        <a:off x="10551540" y="2741051"/>
        <a:ext cx="1043558" cy="506035"/>
      </dsp:txXfrm>
    </dsp:sp>
    <dsp:sp modelId="{0A574E65-26AD-4153-ACFA-B6508D80ED8C}">
      <dsp:nvSpPr>
        <dsp:cNvPr id="0" name=""/>
        <dsp:cNvSpPr/>
      </dsp:nvSpPr>
      <dsp:spPr>
        <a:xfrm rot="4369170">
          <a:off x="562500" y="3216866"/>
          <a:ext cx="1455800" cy="18017"/>
        </a:xfrm>
        <a:custGeom>
          <a:avLst/>
          <a:gdLst/>
          <a:ahLst/>
          <a:cxnLst/>
          <a:rect l="0" t="0" r="0" b="0"/>
          <a:pathLst>
            <a:path>
              <a:moveTo>
                <a:pt x="0" y="9008"/>
              </a:moveTo>
              <a:lnTo>
                <a:pt x="1455800" y="9008"/>
              </a:lnTo>
            </a:path>
          </a:pathLst>
        </a:custGeom>
        <a:noFill/>
        <a:ln w="1905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254005" y="3189480"/>
        <a:ext cx="72790" cy="72790"/>
      </dsp:txXfrm>
    </dsp:sp>
    <dsp:sp modelId="{3FF46F38-73CF-4DBB-B22D-5757F5DF1549}">
      <dsp:nvSpPr>
        <dsp:cNvPr id="0" name=""/>
        <dsp:cNvSpPr/>
      </dsp:nvSpPr>
      <dsp:spPr>
        <a:xfrm>
          <a:off x="1505409" y="3652534"/>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Transplant</a:t>
          </a:r>
        </a:p>
      </dsp:txBody>
      <dsp:txXfrm>
        <a:off x="1521153" y="3668278"/>
        <a:ext cx="1043558" cy="506035"/>
      </dsp:txXfrm>
    </dsp:sp>
    <dsp:sp modelId="{D9323FB4-687C-4C65-9470-F1A71F51C4C7}">
      <dsp:nvSpPr>
        <dsp:cNvPr id="0" name=""/>
        <dsp:cNvSpPr/>
      </dsp:nvSpPr>
      <dsp:spPr>
        <a:xfrm rot="19457599">
          <a:off x="2530679" y="3757749"/>
          <a:ext cx="529569" cy="18017"/>
        </a:xfrm>
        <a:custGeom>
          <a:avLst/>
          <a:gdLst/>
          <a:ahLst/>
          <a:cxnLst/>
          <a:rect l="0" t="0" r="0" b="0"/>
          <a:pathLst>
            <a:path>
              <a:moveTo>
                <a:pt x="0" y="9008"/>
              </a:moveTo>
              <a:lnTo>
                <a:pt x="529569"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82225" y="3753518"/>
        <a:ext cx="26478" cy="26478"/>
      </dsp:txXfrm>
    </dsp:sp>
    <dsp:sp modelId="{FDF73456-B5D7-406E-9142-FB46C4CA82EA}">
      <dsp:nvSpPr>
        <dsp:cNvPr id="0" name=""/>
        <dsp:cNvSpPr/>
      </dsp:nvSpPr>
      <dsp:spPr>
        <a:xfrm>
          <a:off x="3010473"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Live</a:t>
          </a:r>
        </a:p>
      </dsp:txBody>
      <dsp:txXfrm>
        <a:off x="3026217" y="3359202"/>
        <a:ext cx="1043558" cy="506035"/>
      </dsp:txXfrm>
    </dsp:sp>
    <dsp:sp modelId="{9BE4A52F-5A0D-4495-93ED-124F3853D05E}">
      <dsp:nvSpPr>
        <dsp:cNvPr id="0" name=""/>
        <dsp:cNvSpPr/>
      </dsp:nvSpPr>
      <dsp:spPr>
        <a:xfrm>
          <a:off x="4085519" y="3603211"/>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3601469"/>
        <a:ext cx="21500" cy="21500"/>
      </dsp:txXfrm>
    </dsp:sp>
    <dsp:sp modelId="{F74A89F7-B5B1-411A-A507-7DA4255A624A}">
      <dsp:nvSpPr>
        <dsp:cNvPr id="0" name=""/>
        <dsp:cNvSpPr/>
      </dsp:nvSpPr>
      <dsp:spPr>
        <a:xfrm>
          <a:off x="4515538"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caring post transplant  </a:t>
          </a:r>
        </a:p>
      </dsp:txBody>
      <dsp:txXfrm>
        <a:off x="4531282" y="3359202"/>
        <a:ext cx="1043558" cy="506035"/>
      </dsp:txXfrm>
    </dsp:sp>
    <dsp:sp modelId="{0E4430D5-CDA1-46C4-A8D2-B977202A1EBF}">
      <dsp:nvSpPr>
        <dsp:cNvPr id="0" name=""/>
        <dsp:cNvSpPr/>
      </dsp:nvSpPr>
      <dsp:spPr>
        <a:xfrm>
          <a:off x="5590584" y="3603211"/>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3601469"/>
        <a:ext cx="21500" cy="21500"/>
      </dsp:txXfrm>
    </dsp:sp>
    <dsp:sp modelId="{FA05FBB8-38CC-4AC9-86BE-70D50F88621A}">
      <dsp:nvSpPr>
        <dsp:cNvPr id="0" name=""/>
        <dsp:cNvSpPr/>
      </dsp:nvSpPr>
      <dsp:spPr>
        <a:xfrm>
          <a:off x="6020602"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3359202"/>
        <a:ext cx="1043558" cy="506035"/>
      </dsp:txXfrm>
    </dsp:sp>
    <dsp:sp modelId="{04024163-7E66-46A1-8209-73FF25CF8548}">
      <dsp:nvSpPr>
        <dsp:cNvPr id="0" name=""/>
        <dsp:cNvSpPr/>
      </dsp:nvSpPr>
      <dsp:spPr>
        <a:xfrm>
          <a:off x="7095648" y="3603211"/>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3601469"/>
        <a:ext cx="21500" cy="21500"/>
      </dsp:txXfrm>
    </dsp:sp>
    <dsp:sp modelId="{5A304F7F-1E24-49F4-B5DD-CB3329AB044D}">
      <dsp:nvSpPr>
        <dsp:cNvPr id="0" name=""/>
        <dsp:cNvSpPr/>
      </dsp:nvSpPr>
      <dsp:spPr>
        <a:xfrm>
          <a:off x="7525667"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3359202"/>
        <a:ext cx="1043558" cy="506035"/>
      </dsp:txXfrm>
    </dsp:sp>
    <dsp:sp modelId="{C9B95468-A4CE-4BAB-9D89-2C6B1A0ADB22}">
      <dsp:nvSpPr>
        <dsp:cNvPr id="0" name=""/>
        <dsp:cNvSpPr/>
      </dsp:nvSpPr>
      <dsp:spPr>
        <a:xfrm>
          <a:off x="8600713" y="3603211"/>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3601469"/>
        <a:ext cx="21500" cy="21500"/>
      </dsp:txXfrm>
    </dsp:sp>
    <dsp:sp modelId="{28A887CD-3969-4793-8C57-5CE7B7B07B85}">
      <dsp:nvSpPr>
        <dsp:cNvPr id="0" name=""/>
        <dsp:cNvSpPr/>
      </dsp:nvSpPr>
      <dsp:spPr>
        <a:xfrm>
          <a:off x="9030731"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3359202"/>
        <a:ext cx="1043558" cy="506035"/>
      </dsp:txXfrm>
    </dsp:sp>
    <dsp:sp modelId="{F65DBCA4-D8B6-4E92-B932-80D05BA1A5BC}">
      <dsp:nvSpPr>
        <dsp:cNvPr id="0" name=""/>
        <dsp:cNvSpPr/>
      </dsp:nvSpPr>
      <dsp:spPr>
        <a:xfrm>
          <a:off x="10105777" y="3603211"/>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3601469"/>
        <a:ext cx="21500" cy="21500"/>
      </dsp:txXfrm>
    </dsp:sp>
    <dsp:sp modelId="{D2A38B7B-D505-438D-8CAE-EC1E09A45375}">
      <dsp:nvSpPr>
        <dsp:cNvPr id="0" name=""/>
        <dsp:cNvSpPr/>
      </dsp:nvSpPr>
      <dsp:spPr>
        <a:xfrm>
          <a:off x="10535796" y="3343458"/>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Live Tx</a:t>
          </a:r>
        </a:p>
      </dsp:txBody>
      <dsp:txXfrm>
        <a:off x="10551540" y="3359202"/>
        <a:ext cx="1043558" cy="506035"/>
      </dsp:txXfrm>
    </dsp:sp>
    <dsp:sp modelId="{82A1A3C9-AF28-4B8F-8304-7BEA9022741B}">
      <dsp:nvSpPr>
        <dsp:cNvPr id="0" name=""/>
        <dsp:cNvSpPr/>
      </dsp:nvSpPr>
      <dsp:spPr>
        <a:xfrm rot="2142401">
          <a:off x="2530679" y="4066825"/>
          <a:ext cx="529569" cy="18017"/>
        </a:xfrm>
        <a:custGeom>
          <a:avLst/>
          <a:gdLst/>
          <a:ahLst/>
          <a:cxnLst/>
          <a:rect l="0" t="0" r="0" b="0"/>
          <a:pathLst>
            <a:path>
              <a:moveTo>
                <a:pt x="0" y="9008"/>
              </a:moveTo>
              <a:lnTo>
                <a:pt x="529569"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2782225" y="4062594"/>
        <a:ext cx="26478" cy="26478"/>
      </dsp:txXfrm>
    </dsp:sp>
    <dsp:sp modelId="{3A179D8B-21C3-4C7C-8385-1F895D8D67B5}">
      <dsp:nvSpPr>
        <dsp:cNvPr id="0" name=""/>
        <dsp:cNvSpPr/>
      </dsp:nvSpPr>
      <dsp:spPr>
        <a:xfrm>
          <a:off x="3010473"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Cadaver</a:t>
          </a:r>
        </a:p>
      </dsp:txBody>
      <dsp:txXfrm>
        <a:off x="3026217" y="3977354"/>
        <a:ext cx="1043558" cy="506035"/>
      </dsp:txXfrm>
    </dsp:sp>
    <dsp:sp modelId="{1FF5ED4C-2094-42E5-AB19-186AD771CB63}">
      <dsp:nvSpPr>
        <dsp:cNvPr id="0" name=""/>
        <dsp:cNvSpPr/>
      </dsp:nvSpPr>
      <dsp:spPr>
        <a:xfrm>
          <a:off x="4085519" y="4221362"/>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4289778" y="4219621"/>
        <a:ext cx="21500" cy="21500"/>
      </dsp:txXfrm>
    </dsp:sp>
    <dsp:sp modelId="{DF492ED8-7257-4DCA-A973-CCDD11D8C1D2}">
      <dsp:nvSpPr>
        <dsp:cNvPr id="0" name=""/>
        <dsp:cNvSpPr/>
      </dsp:nvSpPr>
      <dsp:spPr>
        <a:xfrm>
          <a:off x="4515538"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Cost of caring post transplant  </a:t>
          </a:r>
        </a:p>
      </dsp:txBody>
      <dsp:txXfrm>
        <a:off x="4531282" y="3977354"/>
        <a:ext cx="1043558" cy="506035"/>
      </dsp:txXfrm>
    </dsp:sp>
    <dsp:sp modelId="{753FD0E6-6DE9-4F27-ABB7-FC4E115661BD}">
      <dsp:nvSpPr>
        <dsp:cNvPr id="0" name=""/>
        <dsp:cNvSpPr/>
      </dsp:nvSpPr>
      <dsp:spPr>
        <a:xfrm>
          <a:off x="5590584" y="4221362"/>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5794843" y="4219621"/>
        <a:ext cx="21500" cy="21500"/>
      </dsp:txXfrm>
    </dsp:sp>
    <dsp:sp modelId="{D5F883CA-AFB8-47B8-BEE1-D528ADCE38BD}">
      <dsp:nvSpPr>
        <dsp:cNvPr id="0" name=""/>
        <dsp:cNvSpPr/>
      </dsp:nvSpPr>
      <dsp:spPr>
        <a:xfrm>
          <a:off x="6020602"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x</a:t>
          </a:r>
        </a:p>
      </dsp:txBody>
      <dsp:txXfrm>
        <a:off x="6036346" y="3977354"/>
        <a:ext cx="1043558" cy="506035"/>
      </dsp:txXfrm>
    </dsp:sp>
    <dsp:sp modelId="{A039F8AA-38D7-4297-9FF1-3040161D29DA}">
      <dsp:nvSpPr>
        <dsp:cNvPr id="0" name=""/>
        <dsp:cNvSpPr/>
      </dsp:nvSpPr>
      <dsp:spPr>
        <a:xfrm>
          <a:off x="7095648" y="4221362"/>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7299907" y="4219621"/>
        <a:ext cx="21500" cy="21500"/>
      </dsp:txXfrm>
    </dsp:sp>
    <dsp:sp modelId="{9197BC2C-54DC-41F7-876A-9145A30175AB}">
      <dsp:nvSpPr>
        <dsp:cNvPr id="0" name=""/>
        <dsp:cNvSpPr/>
      </dsp:nvSpPr>
      <dsp:spPr>
        <a:xfrm>
          <a:off x="7525667"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Volume of patients x time they spend here</a:t>
          </a:r>
        </a:p>
      </dsp:txBody>
      <dsp:txXfrm>
        <a:off x="7541411" y="3977354"/>
        <a:ext cx="1043558" cy="506035"/>
      </dsp:txXfrm>
    </dsp:sp>
    <dsp:sp modelId="{B066832F-E973-445E-B1DE-6626F1620126}">
      <dsp:nvSpPr>
        <dsp:cNvPr id="0" name=""/>
        <dsp:cNvSpPr/>
      </dsp:nvSpPr>
      <dsp:spPr>
        <a:xfrm>
          <a:off x="8600713" y="4221362"/>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8804971" y="4219621"/>
        <a:ext cx="21500" cy="21500"/>
      </dsp:txXfrm>
    </dsp:sp>
    <dsp:sp modelId="{32AC4FD9-DB94-482A-9649-7A08C835D9FB}">
      <dsp:nvSpPr>
        <dsp:cNvPr id="0" name=""/>
        <dsp:cNvSpPr/>
      </dsp:nvSpPr>
      <dsp:spPr>
        <a:xfrm>
          <a:off x="9030731"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 cost per person x person time</a:t>
          </a:r>
        </a:p>
      </dsp:txBody>
      <dsp:txXfrm>
        <a:off x="9046475" y="3977354"/>
        <a:ext cx="1043558" cy="506035"/>
      </dsp:txXfrm>
    </dsp:sp>
    <dsp:sp modelId="{153F4508-2F14-4F62-9CDD-49E11997BC9D}">
      <dsp:nvSpPr>
        <dsp:cNvPr id="0" name=""/>
        <dsp:cNvSpPr/>
      </dsp:nvSpPr>
      <dsp:spPr>
        <a:xfrm>
          <a:off x="10105777" y="4221362"/>
          <a:ext cx="430018" cy="18017"/>
        </a:xfrm>
        <a:custGeom>
          <a:avLst/>
          <a:gdLst/>
          <a:ahLst/>
          <a:cxnLst/>
          <a:rect l="0" t="0" r="0" b="0"/>
          <a:pathLst>
            <a:path>
              <a:moveTo>
                <a:pt x="0" y="9008"/>
              </a:moveTo>
              <a:lnTo>
                <a:pt x="430018" y="9008"/>
              </a:lnTo>
            </a:path>
          </a:pathLst>
        </a:custGeom>
        <a:noFill/>
        <a:ln w="19050" cap="flat" cmpd="sng" algn="ctr">
          <a:solidFill>
            <a:schemeClr val="accent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txBody>
        <a:bodyPr spcFirstLastPara="0" vert="horz" wrap="square" lIns="12700" tIns="0" rIns="12700" bIns="0" numCol="1" spcCol="1270" anchor="ctr" anchorCtr="0">
          <a:noAutofit/>
        </a:bodyPr>
        <a:lstStyle/>
        <a:p>
          <a:pPr marL="0" lvl="0" indent="0" algn="ctr" defTabSz="222250">
            <a:lnSpc>
              <a:spcPct val="90000"/>
            </a:lnSpc>
            <a:spcBef>
              <a:spcPct val="0"/>
            </a:spcBef>
            <a:spcAft>
              <a:spcPct val="35000"/>
            </a:spcAft>
            <a:buNone/>
          </a:pPr>
          <a:endParaRPr lang="en-GB" sz="500" kern="1200"/>
        </a:p>
      </dsp:txBody>
      <dsp:txXfrm>
        <a:off x="10310036" y="4219621"/>
        <a:ext cx="21500" cy="21500"/>
      </dsp:txXfrm>
    </dsp:sp>
    <dsp:sp modelId="{49E74F65-E45A-4CE2-9932-E3B6F36804D5}">
      <dsp:nvSpPr>
        <dsp:cNvPr id="0" name=""/>
        <dsp:cNvSpPr/>
      </dsp:nvSpPr>
      <dsp:spPr>
        <a:xfrm>
          <a:off x="10535796" y="3961610"/>
          <a:ext cx="1075046" cy="537523"/>
        </a:xfrm>
        <a:prstGeom prst="roundRect">
          <a:avLst>
            <a:gd name="adj" fmla="val 10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6985" tIns="6985" rIns="6985" bIns="6985" numCol="1" spcCol="1270" anchor="ctr" anchorCtr="0">
          <a:noAutofit/>
        </a:bodyPr>
        <a:lstStyle/>
        <a:p>
          <a:pPr marL="0" lvl="0" indent="0" algn="ctr" defTabSz="488950">
            <a:lnSpc>
              <a:spcPct val="90000"/>
            </a:lnSpc>
            <a:spcBef>
              <a:spcPct val="0"/>
            </a:spcBef>
            <a:spcAft>
              <a:spcPct val="35000"/>
            </a:spcAft>
            <a:buNone/>
          </a:pPr>
          <a:r>
            <a:rPr lang="en-GB" sz="1100" kern="1200"/>
            <a:t>Total Cost Cadaver Tx</a:t>
          </a:r>
        </a:p>
      </dsp:txBody>
      <dsp:txXfrm>
        <a:off x="10551540" y="3977354"/>
        <a:ext cx="1043558" cy="506035"/>
      </dsp:txXfrm>
    </dsp:sp>
  </dsp:spTree>
</dsp:drawing>
</file>

<file path=xl/diagrams/layout1.xml><?xml version="1.0" encoding="utf-8"?>
<dgm:layoutDef xmlns:dgm="http://schemas.openxmlformats.org/drawingml/2006/diagram" xmlns:a="http://schemas.openxmlformats.org/drawingml/2006/main" uniqueId="urn:microsoft.com/office/officeart/2005/8/layout/hierarchy2">
  <dgm:title val=""/>
  <dgm:desc val=""/>
  <dgm:catLst>
    <dgm:cat type="hierarchy" pri="5000"/>
  </dgm:catLst>
  <dgm:sampData>
    <dgm:dataModel>
      <dgm:ptLst>
        <dgm:pt modelId="0" type="doc"/>
        <dgm:pt modelId="1">
          <dgm:prSet phldr="1"/>
        </dgm:pt>
        <dgm:pt modelId="2">
          <dgm:prSet phldr="1"/>
        </dgm:pt>
        <dgm:pt modelId="21">
          <dgm:prSet phldr="1"/>
        </dgm:pt>
        <dgm:pt modelId="22">
          <dgm:prSet phldr="1"/>
        </dgm:pt>
        <dgm:pt modelId="3">
          <dgm:prSet phldr="1"/>
        </dgm:pt>
        <dgm:pt modelId="31">
          <dgm:prSet phldr="1"/>
        </dgm:pt>
      </dgm:ptLst>
      <dgm:cxnLst>
        <dgm:cxn modelId="4" srcId="0" destId="1" srcOrd="0" destOrd="0"/>
        <dgm:cxn modelId="5" srcId="1" destId="2" srcOrd="0" destOrd="0"/>
        <dgm:cxn modelId="6" srcId="1" destId="3" srcOrd="1" destOrd="0"/>
        <dgm:cxn modelId="23" srcId="2" destId="21" srcOrd="0" destOrd="0"/>
        <dgm:cxn modelId="24" srcId="2" destId="22" srcOrd="1" destOrd="0"/>
        <dgm:cxn modelId="33" srcId="3" destId="31" srcOrd="0" destOrd="0"/>
      </dgm:cxnLst>
      <dgm:bg/>
      <dgm:whole/>
    </dgm:dataModel>
  </dgm:sampData>
  <dgm:styleData>
    <dgm:dataModel>
      <dgm:ptLst>
        <dgm:pt modelId="0" type="doc"/>
        <dgm:pt modelId="1"/>
        <dgm:pt modelId="11"/>
        <dgm:pt modelId="12"/>
      </dgm:ptLst>
      <dgm:cxnLst>
        <dgm:cxn modelId="2" srcId="0" destId="1" srcOrd="0" destOrd="0"/>
        <dgm:cxn modelId="13" srcId="1" destId="11" srcOrd="0" destOrd="0"/>
        <dgm:cxn modelId="14" srcId="1" destId="12" srcOrd="1" destOrd="0"/>
      </dgm:cxnLst>
      <dgm:bg/>
      <dgm:whole/>
    </dgm:dataModel>
  </dgm:styleData>
  <dgm:clrData>
    <dgm:dataModel>
      <dgm:ptLst>
        <dgm:pt modelId="0" type="doc"/>
        <dgm:pt modelId="1"/>
        <dgm:pt modelId="2"/>
        <dgm:pt modelId="21"/>
        <dgm:pt modelId="211"/>
        <dgm:pt modelId="3"/>
        <dgm:pt modelId="31"/>
        <dgm:pt modelId="311"/>
      </dgm:ptLst>
      <dgm:cxnLst>
        <dgm:cxn modelId="4" srcId="0" destId="1" srcOrd="0" destOrd="0"/>
        <dgm:cxn modelId="5" srcId="1" destId="2" srcOrd="0" destOrd="0"/>
        <dgm:cxn modelId="6" srcId="1" destId="3" srcOrd="1" destOrd="0"/>
        <dgm:cxn modelId="23" srcId="2" destId="21" srcOrd="0" destOrd="0"/>
        <dgm:cxn modelId="24" srcId="21" destId="211" srcOrd="0" destOrd="0"/>
        <dgm:cxn modelId="33" srcId="3" destId="31" srcOrd="0" destOrd="0"/>
        <dgm:cxn modelId="34" srcId="31" destId="311" srcOrd="0" destOrd="0"/>
      </dgm:cxnLst>
      <dgm:bg/>
      <dgm:whole/>
    </dgm:dataModel>
  </dgm:clrData>
  <dgm:layoutNode name="diagram">
    <dgm:varLst>
      <dgm:chPref val="1"/>
      <dgm:dir/>
      <dgm:animOne val="branch"/>
      <dgm:animLvl val="lvl"/>
      <dgm:resizeHandles val="exact"/>
    </dgm:varLst>
    <dgm:choose name="Name0">
      <dgm:if name="Name1" func="var" arg="dir" op="equ" val="norm">
        <dgm:alg type="hierChild">
          <dgm:param type="linDir" val="fromT"/>
          <dgm:param type="chAlign" val="l"/>
        </dgm:alg>
      </dgm:if>
      <dgm:else name="Name2">
        <dgm:alg type="hierChild">
          <dgm:param type="linDir" val="fromT"/>
          <dgm:param type="chAlign" val="r"/>
        </dgm:alg>
      </dgm:else>
    </dgm:choose>
    <dgm:shape xmlns:r="http://schemas.openxmlformats.org/officeDocument/2006/relationships" r:blip="">
      <dgm:adjLst/>
    </dgm:shape>
    <dgm:presOf/>
    <dgm:constrLst>
      <dgm:constr type="h" for="des" ptType="node" refType="h"/>
      <dgm:constr type="w" for="des" ptType="node" refType="h" refFor="des" refPtType="node" fact="2"/>
      <dgm:constr type="sibSp" refType="h" refFor="des" refPtType="node" op="equ" fact="0.15"/>
      <dgm:constr type="sibSp" for="des" forName="level2hierChild" refType="h" refFor="des" refPtType="node" op="equ" fact="0.15"/>
      <dgm:constr type="sibSp" for="des" forName="level3hierChild" refType="h" refFor="des" refPtType="node" op="equ" fact="0.15"/>
      <dgm:constr type="sp" for="des" forName="root1" refType="w" refFor="des" refPtType="node" fact="0.4"/>
      <dgm:constr type="sp" for="des" forName="root2" refType="sp" refFor="des" refForName="root1" op="equ"/>
      <dgm:constr type="primFontSz" for="des" ptType="node" op="equ" val="65"/>
      <dgm:constr type="primFontSz" for="des" forName="connTx" op="equ" val="55"/>
      <dgm:constr type="primFontSz" for="des" forName="connTx" refType="primFontSz" refFor="des" refPtType="node" op="lte" fact="0.8"/>
    </dgm:constrLst>
    <dgm:ruleLst/>
    <dgm:forEach name="Name3" axis="ch">
      <dgm:forEach name="Name4" axis="self" ptType="node">
        <dgm:layoutNode name="root1">
          <dgm:choose name="Name5">
            <dgm:if name="Name6" func="var" arg="dir" op="equ" val="norm">
              <dgm:alg type="hierRoot">
                <dgm:param type="hierAlign" val="lCtrCh"/>
              </dgm:alg>
            </dgm:if>
            <dgm:else name="Name7">
              <dgm:alg type="hierRoot">
                <dgm:param type="hierAlign" val="rCtrCh"/>
              </dgm:alg>
            </dgm:else>
          </dgm:choose>
          <dgm:shape xmlns:r="http://schemas.openxmlformats.org/officeDocument/2006/relationships" r:blip="">
            <dgm:adjLst/>
          </dgm:shape>
          <dgm:presOf/>
          <dgm:constrLst/>
          <dgm:ruleLst/>
          <dgm:layoutNode name="LevelOneTextNode" styleLbl="node0">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2hierChild">
            <dgm:choose name="Name8">
              <dgm:if name="Name9" func="var" arg="dir" op="equ" val="norm">
                <dgm:alg type="hierChild">
                  <dgm:param type="linDir" val="fromT"/>
                  <dgm:param type="chAlign" val="l"/>
                </dgm:alg>
              </dgm:if>
              <dgm:else name="Name10">
                <dgm:alg type="hierChild">
                  <dgm:param type="linDir" val="fromT"/>
                  <dgm:param type="chAlign" val="r"/>
                </dgm:alg>
              </dgm:else>
            </dgm:choose>
            <dgm:shape xmlns:r="http://schemas.openxmlformats.org/officeDocument/2006/relationships" r:blip="">
              <dgm:adjLst/>
            </dgm:shape>
            <dgm:presOf/>
            <dgm:constrLst/>
            <dgm:ruleLst/>
            <dgm:forEach name="repeat" axis="ch">
              <dgm:forEach name="Name11" axis="self" ptType="parTrans" cnt="1">
                <dgm:layoutNode name="conn2-1">
                  <dgm:choose name="Name12">
                    <dgm:if name="Name13" func="var" arg="dir" op="equ" val="norm">
                      <dgm:alg type="conn">
                        <dgm:param type="dim" val="1D"/>
                        <dgm:param type="begPts" val="midR"/>
                        <dgm:param type="endPts" val="midL"/>
                        <dgm:param type="endSty" val="noArr"/>
                      </dgm:alg>
                    </dgm:if>
                    <dgm:else name="Name14">
                      <dgm:alg type="conn">
                        <dgm:param type="dim" val="1D"/>
                        <dgm:param type="begPts" val="midL"/>
                        <dgm:param type="endPts" val="midR"/>
                        <dgm:param type="endSty" val="noArr"/>
                      </dgm:alg>
                    </dgm:else>
                  </dgm:choose>
                  <dgm:shape xmlns:r="http://schemas.openxmlformats.org/officeDocument/2006/relationships" type="conn" r:blip="">
                    <dgm:adjLst/>
                  </dgm:shape>
                  <dgm:presOf axis="self"/>
                  <dgm:constrLst>
                    <dgm:constr type="w" val="1"/>
                    <dgm:constr type="h" val="5"/>
                    <dgm:constr type="connDist"/>
                    <dgm:constr type="begPad"/>
                    <dgm:constr type="endPad"/>
                    <dgm:constr type="userA" for="ch" refType="connDist"/>
                  </dgm:constrLst>
                  <dgm:ruleLst/>
                  <dgm:layoutNode name="connTx">
                    <dgm:alg type="tx">
                      <dgm:param type="autoTxRot" val="grav"/>
                    </dgm:alg>
                    <dgm:shape xmlns:r="http://schemas.openxmlformats.org/officeDocument/2006/relationships" type="rect" r:blip="" hideGeom="1">
                      <dgm:adjLst/>
                    </dgm:shape>
                    <dgm:presOf axis="self"/>
                    <dgm:constrLst>
                      <dgm:constr type="userA"/>
                      <dgm:constr type="w" refType="userA" fact="0.05"/>
                      <dgm:constr type="h" refType="userA" fact="0.05"/>
                      <dgm:constr type="lMarg" val="1"/>
                      <dgm:constr type="rMarg" val="1"/>
                      <dgm:constr type="tMarg"/>
                      <dgm:constr type="bMarg"/>
                    </dgm:constrLst>
                    <dgm:ruleLst>
                      <dgm:rule type="h" val="NaN" fact="0.25" max="NaN"/>
                      <dgm:rule type="w" val="NaN" fact="0.8" max="NaN"/>
                      <dgm:rule type="primFontSz" val="5" fact="NaN" max="NaN"/>
                    </dgm:ruleLst>
                  </dgm:layoutNode>
                </dgm:layoutNode>
              </dgm:forEach>
              <dgm:forEach name="Name15" axis="self" ptType="node">
                <dgm:layoutNode name="root2">
                  <dgm:choose name="Name16">
                    <dgm:if name="Name17" func="var" arg="dir" op="equ" val="norm">
                      <dgm:alg type="hierRoot">
                        <dgm:param type="hierAlign" val="lCtrCh"/>
                      </dgm:alg>
                    </dgm:if>
                    <dgm:else name="Name18">
                      <dgm:alg type="hierRoot">
                        <dgm:param type="hierAlign" val="rCtrCh"/>
                      </dgm:alg>
                    </dgm:else>
                  </dgm:choose>
                  <dgm:shape xmlns:r="http://schemas.openxmlformats.org/officeDocument/2006/relationships" r:blip="">
                    <dgm:adjLst/>
                  </dgm:shape>
                  <dgm:presOf/>
                  <dgm:constrLst/>
                  <dgm:ruleLst/>
                  <dgm:layoutNode name="LevelTwoTextNode">
                    <dgm:varLst>
                      <dgm:chPref val="3"/>
                    </dgm:varLst>
                    <dgm:alg type="tx"/>
                    <dgm:shape xmlns:r="http://schemas.openxmlformats.org/officeDocument/2006/relationships" type="roundRect" r:blip="">
                      <dgm:adjLst>
                        <dgm:adj idx="1" val="0.1"/>
                      </dgm:adjLst>
                    </dgm:shape>
                    <dgm:presOf axis="self"/>
                    <dgm:constrLst>
                      <dgm:constr type="tMarg" refType="primFontSz" fact="0.05"/>
                      <dgm:constr type="bMarg" refType="primFontSz" fact="0.05"/>
                      <dgm:constr type="lMarg" refType="primFontSz" fact="0.05"/>
                      <dgm:constr type="rMarg" refType="primFontSz" fact="0.05"/>
                    </dgm:constrLst>
                    <dgm:ruleLst>
                      <dgm:rule type="primFontSz" val="5" fact="NaN" max="NaN"/>
                    </dgm:ruleLst>
                  </dgm:layoutNode>
                  <dgm:layoutNode name="level3hierChild">
                    <dgm:choose name="Name19">
                      <dgm:if name="Name20" func="var" arg="dir" op="equ" val="norm">
                        <dgm:alg type="hierChild">
                          <dgm:param type="linDir" val="fromT"/>
                          <dgm:param type="chAlign" val="l"/>
                        </dgm:alg>
                      </dgm:if>
                      <dgm:else name="Name21">
                        <dgm:alg type="hierChild">
                          <dgm:param type="linDir" val="fromT"/>
                          <dgm:param type="chAlign" val="r"/>
                        </dgm:alg>
                      </dgm:else>
                    </dgm:choose>
                    <dgm:shape xmlns:r="http://schemas.openxmlformats.org/officeDocument/2006/relationships" r:blip="">
                      <dgm:adjLst/>
                    </dgm:shape>
                    <dgm:presOf/>
                    <dgm:constrLst/>
                    <dgm:ruleLst/>
                    <dgm:forEach name="Name22" ref="repeat"/>
                  </dgm:layoutNode>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diagramData" Target="../diagrams/data1.xml"/><Relationship Id="rId7" Type="http://schemas.microsoft.com/office/2007/relationships/diagramDrawing" Target="../diagrams/drawing1.xml"/><Relationship Id="rId2"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diagramColors" Target="../diagrams/colors1.xml"/><Relationship Id="rId5" Type="http://schemas.openxmlformats.org/officeDocument/2006/relationships/diagramQuickStyle" Target="../diagrams/quickStyle1.xml"/><Relationship Id="rId4" Type="http://schemas.openxmlformats.org/officeDocument/2006/relationships/diagramLayout" Target="../diagrams/layout1.xml"/></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4.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289560</xdr:colOff>
      <xdr:row>0</xdr:row>
      <xdr:rowOff>0</xdr:rowOff>
    </xdr:from>
    <xdr:ext cx="8404860" cy="1333500"/>
    <xdr:sp macro="" textlink="">
      <xdr:nvSpPr>
        <xdr:cNvPr id="2" name="TextBox 1">
          <a:extLst>
            <a:ext uri="{FF2B5EF4-FFF2-40B4-BE49-F238E27FC236}">
              <a16:creationId xmlns:a16="http://schemas.microsoft.com/office/drawing/2014/main" id="{210DFED3-9B14-47E8-823E-FB1DC90AAE10}"/>
            </a:ext>
          </a:extLst>
        </xdr:cNvPr>
        <xdr:cNvSpPr txBox="1"/>
      </xdr:nvSpPr>
      <xdr:spPr>
        <a:xfrm>
          <a:off x="1619250" y="971550"/>
          <a:ext cx="8404860" cy="1333500"/>
        </a:xfrm>
        <a:prstGeom prst="rect">
          <a:avLst/>
        </a:prstGeom>
        <a:ln>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noAutofit/>
        </a:bodyPr>
        <a:lstStyle/>
        <a:p>
          <a:pPr algn="ctr"/>
          <a:r>
            <a:rPr lang="en-GB" sz="3600" b="0">
              <a:solidFill>
                <a:schemeClr val="tx1"/>
              </a:solidFill>
              <a:latin typeface="Segoe UI" panose="020B0502040204020203" pitchFamily="34" charset="0"/>
              <a:cs typeface="Segoe UI" panose="020B0502040204020203" pitchFamily="34" charset="0"/>
            </a:rPr>
            <a:t>Renal Pathways</a:t>
          </a:r>
          <a:r>
            <a:rPr lang="en-GB" sz="3600" b="0" baseline="0">
              <a:solidFill>
                <a:schemeClr val="tx1"/>
              </a:solidFill>
              <a:latin typeface="Segoe UI" panose="020B0502040204020203" pitchFamily="34" charset="0"/>
              <a:cs typeface="Segoe UI" panose="020B0502040204020203" pitchFamily="34" charset="0"/>
            </a:rPr>
            <a:t> DES </a:t>
          </a:r>
          <a:r>
            <a:rPr lang="en-GB" sz="3600" b="0">
              <a:solidFill>
                <a:schemeClr val="tx1"/>
              </a:solidFill>
              <a:latin typeface="Segoe UI" panose="020B0502040204020203" pitchFamily="34" charset="0"/>
              <a:cs typeface="Segoe UI" panose="020B0502040204020203" pitchFamily="34" charset="0"/>
            </a:rPr>
            <a:t>Model</a:t>
          </a:r>
        </a:p>
        <a:p>
          <a:pPr algn="ctr"/>
          <a:r>
            <a:rPr lang="en-GB" sz="1800" b="1">
              <a:solidFill>
                <a:srgbClr val="5881C1"/>
              </a:solidFill>
              <a:latin typeface="Segoe UI" panose="020B0502040204020203" pitchFamily="34" charset="0"/>
              <a:cs typeface="Segoe UI" panose="020B0502040204020203" pitchFamily="34" charset="0"/>
            </a:rPr>
            <a:t>SU</a:t>
          </a:r>
          <a:r>
            <a:rPr lang="en-GB" sz="1800" b="1" baseline="0">
              <a:solidFill>
                <a:srgbClr val="5881C1"/>
              </a:solidFill>
              <a:latin typeface="Segoe UI" panose="020B0502040204020203" pitchFamily="34" charset="0"/>
              <a:cs typeface="Segoe UI" panose="020B0502040204020203" pitchFamily="34" charset="0"/>
            </a:rPr>
            <a:t> 2025</a:t>
          </a:r>
          <a:r>
            <a:rPr lang="en-GB" sz="1800" b="1">
              <a:solidFill>
                <a:srgbClr val="5881C1"/>
              </a:solidFill>
              <a:latin typeface="Segoe UI" panose="020B0502040204020203" pitchFamily="34" charset="0"/>
              <a:cs typeface="Segoe UI" panose="020B0502040204020203" pitchFamily="34" charset="0"/>
            </a:rPr>
            <a:t>: Capacity Modelling</a:t>
          </a:r>
          <a:endParaRPr lang="en-GB" sz="1600" b="1">
            <a:solidFill>
              <a:srgbClr val="5881C1"/>
            </a:solidFill>
            <a:latin typeface="Segoe UI" panose="020B0502040204020203" pitchFamily="34" charset="0"/>
            <a:cs typeface="Segoe UI" panose="020B0502040204020203" pitchFamily="34" charset="0"/>
          </a:endParaRPr>
        </a:p>
      </xdr:txBody>
    </xdr:sp>
    <xdr:clientData/>
  </xdr:oneCellAnchor>
  <xdr:twoCellAnchor>
    <xdr:from>
      <xdr:col>2</xdr:col>
      <xdr:colOff>286528</xdr:colOff>
      <xdr:row>6</xdr:row>
      <xdr:rowOff>55244</xdr:rowOff>
    </xdr:from>
    <xdr:to>
      <xdr:col>19</xdr:col>
      <xdr:colOff>59055</xdr:colOff>
      <xdr:row>17</xdr:row>
      <xdr:rowOff>47625</xdr:rowOff>
    </xdr:to>
    <xdr:sp macro="" textlink="">
      <xdr:nvSpPr>
        <xdr:cNvPr id="3" name="Rectangle: Rounded Corners 2">
          <a:extLst>
            <a:ext uri="{FF2B5EF4-FFF2-40B4-BE49-F238E27FC236}">
              <a16:creationId xmlns:a16="http://schemas.microsoft.com/office/drawing/2014/main" id="{0126852F-23C2-4F00-9C1E-FFDC16E4215D}"/>
            </a:ext>
          </a:extLst>
        </xdr:cNvPr>
        <xdr:cNvSpPr/>
      </xdr:nvSpPr>
      <xdr:spPr>
        <a:xfrm>
          <a:off x="1620028" y="2569844"/>
          <a:ext cx="11107277" cy="2297431"/>
        </a:xfrm>
        <a:prstGeom prst="roundRect">
          <a:avLst>
            <a:gd name="adj" fmla="val 3857"/>
          </a:avLst>
        </a:prstGeom>
        <a:ln>
          <a:solidFill>
            <a:schemeClr val="bg2"/>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rtl="0" eaLnBrk="1" latinLnBrk="0" hangingPunct="1"/>
          <a:r>
            <a:rPr lang="en-GB" sz="1100" b="1">
              <a:solidFill>
                <a:schemeClr val="dk1"/>
              </a:solidFill>
              <a:effectLst/>
              <a:latin typeface="Segoe UI" panose="020B0502040204020203" pitchFamily="34" charset="0"/>
              <a:ea typeface="+mn-ea"/>
              <a:cs typeface="Segoe UI" panose="020B0502040204020203" pitchFamily="34" charset="0"/>
            </a:rPr>
            <a:t>Brief Overview</a:t>
          </a:r>
        </a:p>
        <a:p>
          <a:pPr marL="0" marR="0" lvl="0" indent="0" algn="l" defTabSz="914400" rtl="0" eaLnBrk="1" fontAlgn="auto" latinLnBrk="0" hangingPunct="1">
            <a:lnSpc>
              <a:spcPct val="100000"/>
            </a:lnSpc>
            <a:spcBef>
              <a:spcPts val="0"/>
            </a:spcBef>
            <a:spcAft>
              <a:spcPts val="0"/>
            </a:spcAft>
            <a:buClrTx/>
            <a:buSzTx/>
            <a:buFontTx/>
            <a:buNone/>
            <a:tabLst/>
            <a:defRPr/>
          </a:pPr>
          <a:r>
            <a:rPr lang="en-GB" sz="1100" b="0" i="0">
              <a:solidFill>
                <a:schemeClr val="dk1"/>
              </a:solidFill>
              <a:effectLst/>
              <a:latin typeface="Segoe UI" panose="020B0502040204020203" pitchFamily="34" charset="0"/>
              <a:ea typeface="+mn-ea"/>
              <a:cs typeface="Segoe UI" panose="020B0502040204020203" pitchFamily="34" charset="0"/>
            </a:rPr>
            <a:t>This file controls the inputs to the Renal patient pathways DES model</a:t>
          </a:r>
          <a:endParaRPr lang="en-GB" b="0">
            <a:effectLst/>
            <a:latin typeface="Segoe UI" panose="020B0502040204020203" pitchFamily="34" charset="0"/>
            <a:cs typeface="Segoe UI" panose="020B0502040204020203" pitchFamily="34" charset="0"/>
          </a:endParaRPr>
        </a:p>
        <a:p>
          <a:pPr algn="l" rtl="0" eaLnBrk="1" latinLnBrk="0" hangingPunct="1"/>
          <a:r>
            <a:rPr lang="en-GB" sz="1100">
              <a:effectLst/>
              <a:latin typeface="Segoe UI" panose="020B0502040204020203" pitchFamily="34" charset="0"/>
              <a:cs typeface="Segoe UI" panose="020B0502040204020203" pitchFamily="34" charset="0"/>
            </a:rPr>
            <a:t>This tab is the main model interface for running the model and designing intervention scenarios</a:t>
          </a:r>
        </a:p>
        <a:p>
          <a:pPr algn="l" rtl="0" eaLnBrk="1" latinLnBrk="0" hangingPunct="1"/>
          <a:endParaRPr lang="en-GB" sz="1100">
            <a:effectLst/>
            <a:latin typeface="Segoe UI" panose="020B0502040204020203" pitchFamily="34" charset="0"/>
            <a:cs typeface="Segoe UI" panose="020B0502040204020203" pitchFamily="34" charset="0"/>
          </a:endParaRPr>
        </a:p>
        <a:p>
          <a:pPr algn="l" rtl="0" eaLnBrk="1" latinLnBrk="0" hangingPunct="1"/>
          <a:r>
            <a:rPr lang="en-GB" sz="1200" b="0" i="0">
              <a:solidFill>
                <a:schemeClr val="dk1"/>
              </a:solidFill>
              <a:effectLst/>
              <a:latin typeface="+mn-lt"/>
              <a:ea typeface="+mn-ea"/>
              <a:cs typeface="+mn-cs"/>
            </a:rPr>
            <a:t>This</a:t>
          </a:r>
          <a:r>
            <a:rPr lang="en-GB" sz="1200" b="0" i="0" baseline="0">
              <a:solidFill>
                <a:schemeClr val="dk1"/>
              </a:solidFill>
              <a:effectLst/>
              <a:latin typeface="+mn-lt"/>
              <a:ea typeface="+mn-ea"/>
              <a:cs typeface="+mn-cs"/>
            </a:rPr>
            <a:t> model is part of </a:t>
          </a:r>
          <a:r>
            <a:rPr lang="en-GB" sz="1200" b="0" i="0">
              <a:solidFill>
                <a:schemeClr val="dk1"/>
              </a:solidFill>
              <a:effectLst/>
              <a:latin typeface="+mn-lt"/>
              <a:ea typeface="+mn-ea"/>
              <a:cs typeface="+mn-cs"/>
            </a:rPr>
            <a:t>a combined study of Chronic Kidney Disease (CKD) progression and capacity planning for Kidney Replacement Therapy (KRT). We use a hybrid modelling approach using System Dynamics (SD) to model CKD progression and project the rate of incident KRT patients over time; and a Discrete Event Simulation (DES) model to take that incidence and consider the capacity required to treat the projected demand. The modelling allows interventions in both models to be investigated meaning the impact of both</a:t>
          </a:r>
          <a:r>
            <a:rPr lang="en-GB" sz="1200" b="0" i="0" baseline="0">
              <a:solidFill>
                <a:schemeClr val="dk1"/>
              </a:solidFill>
              <a:effectLst/>
              <a:latin typeface="+mn-lt"/>
              <a:ea typeface="+mn-ea"/>
              <a:cs typeface="+mn-cs"/>
            </a:rPr>
            <a:t> upstream and downstream interventions </a:t>
          </a:r>
          <a:r>
            <a:rPr lang="en-GB" sz="1200" b="0" i="0">
              <a:solidFill>
                <a:schemeClr val="dk1"/>
              </a:solidFill>
              <a:effectLst/>
              <a:latin typeface="+mn-lt"/>
              <a:ea typeface="+mn-ea"/>
              <a:cs typeface="+mn-cs"/>
            </a:rPr>
            <a:t>can be considered in isolation or in combination with changes to renal treatment pathways.</a:t>
          </a:r>
          <a:br>
            <a:rPr lang="en-GB" sz="1200"/>
          </a:br>
          <a:br>
            <a:rPr lang="en-GB" sz="1200"/>
          </a:br>
          <a:r>
            <a:rPr lang="en-GB" sz="1200" b="0" i="0">
              <a:solidFill>
                <a:schemeClr val="dk1"/>
              </a:solidFill>
              <a:effectLst/>
              <a:latin typeface="+mn-lt"/>
              <a:ea typeface="+mn-ea"/>
              <a:cs typeface="+mn-cs"/>
            </a:rPr>
            <a:t>This project was carried out with</a:t>
          </a:r>
          <a:r>
            <a:rPr lang="en-GB" sz="1200" b="0" i="0" baseline="0">
              <a:solidFill>
                <a:schemeClr val="dk1"/>
              </a:solidFill>
              <a:effectLst/>
              <a:latin typeface="+mn-lt"/>
              <a:ea typeface="+mn-ea"/>
              <a:cs typeface="+mn-cs"/>
            </a:rPr>
            <a:t> </a:t>
          </a:r>
          <a:r>
            <a:rPr lang="en-GB" sz="1200" b="0" i="0">
              <a:solidFill>
                <a:schemeClr val="dk1"/>
              </a:solidFill>
              <a:effectLst/>
              <a:latin typeface="+mn-lt"/>
              <a:ea typeface="+mn-ea"/>
              <a:cs typeface="+mn-cs"/>
            </a:rPr>
            <a:t>the Midlands Renal Network with input from other regional networks. A</a:t>
          </a:r>
          <a:r>
            <a:rPr lang="en-GB" sz="1200" b="0" i="0" baseline="0">
              <a:solidFill>
                <a:schemeClr val="dk1"/>
              </a:solidFill>
              <a:effectLst/>
              <a:latin typeface="+mn-lt"/>
              <a:ea typeface="+mn-ea"/>
              <a:cs typeface="+mn-cs"/>
            </a:rPr>
            <a:t> participative </a:t>
          </a:r>
          <a:r>
            <a:rPr lang="en-GB" sz="1200" b="0" i="0">
              <a:solidFill>
                <a:schemeClr val="dk1"/>
              </a:solidFill>
              <a:effectLst/>
              <a:latin typeface="+mn-lt"/>
              <a:ea typeface="+mn-ea"/>
              <a:cs typeface="+mn-cs"/>
            </a:rPr>
            <a:t>modelling approach was adopted. The feedback from the network on the construction and validation of the models was critical to the project progression.</a:t>
          </a:r>
          <a:endParaRPr lang="en-GB" sz="1200">
            <a:effectLst/>
            <a:latin typeface="Segoe UI" panose="020B0502040204020203" pitchFamily="34" charset="0"/>
            <a:cs typeface="Segoe UI" panose="020B0502040204020203" pitchFamily="34" charset="0"/>
          </a:endParaRPr>
        </a:p>
        <a:p>
          <a:pPr algn="l"/>
          <a:endParaRPr lang="en-GB" sz="1100" b="0">
            <a:solidFill>
              <a:schemeClr val="tx2"/>
            </a:solidFill>
            <a:latin typeface="Segoe UI" panose="020B0502040204020203" pitchFamily="34" charset="0"/>
            <a:cs typeface="Segoe UI" panose="020B0502040204020203" pitchFamily="34" charset="0"/>
          </a:endParaRPr>
        </a:p>
      </xdr:txBody>
    </xdr:sp>
    <xdr:clientData/>
  </xdr:twoCellAnchor>
  <xdr:twoCellAnchor>
    <xdr:from>
      <xdr:col>2</xdr:col>
      <xdr:colOff>289204</xdr:colOff>
      <xdr:row>17</xdr:row>
      <xdr:rowOff>133349</xdr:rowOff>
    </xdr:from>
    <xdr:to>
      <xdr:col>19</xdr:col>
      <xdr:colOff>93345</xdr:colOff>
      <xdr:row>25</xdr:row>
      <xdr:rowOff>49696</xdr:rowOff>
    </xdr:to>
    <xdr:sp macro="" textlink="">
      <xdr:nvSpPr>
        <xdr:cNvPr id="4" name="Rectangle: Rounded Corners 18">
          <a:extLst>
            <a:ext uri="{FF2B5EF4-FFF2-40B4-BE49-F238E27FC236}">
              <a16:creationId xmlns:a16="http://schemas.microsoft.com/office/drawing/2014/main" id="{105A9C8C-344B-4BCE-8617-DDB33A7D9184}"/>
            </a:ext>
          </a:extLst>
        </xdr:cNvPr>
        <xdr:cNvSpPr/>
      </xdr:nvSpPr>
      <xdr:spPr>
        <a:xfrm>
          <a:off x="1630987" y="3653458"/>
          <a:ext cx="11209293" cy="1572868"/>
        </a:xfrm>
        <a:prstGeom prst="roundRect">
          <a:avLst>
            <a:gd name="adj" fmla="val 6150"/>
          </a:avLst>
        </a:prstGeom>
        <a:ln>
          <a:solidFill>
            <a:schemeClr val="bg1">
              <a:lumMod val="95000"/>
            </a:schemeClr>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r>
            <a:rPr lang="en-GB" sz="1100" b="1">
              <a:solidFill>
                <a:schemeClr val="tx1"/>
              </a:solidFill>
              <a:latin typeface="Segoe UI" panose="020B0502040204020203" pitchFamily="34" charset="0"/>
              <a:cs typeface="Segoe UI" panose="020B0502040204020203" pitchFamily="34" charset="0"/>
            </a:rPr>
            <a:t>Developed by: Dr Lucy E. Morgan</a:t>
          </a:r>
        </a:p>
        <a:p>
          <a:pPr algn="l"/>
          <a:r>
            <a:rPr lang="en-GB" sz="1100" b="1" baseline="0">
              <a:solidFill>
                <a:schemeClr val="tx1"/>
              </a:solidFill>
              <a:latin typeface="Segoe UI" panose="020B0502040204020203" pitchFamily="34" charset="0"/>
              <a:cs typeface="Segoe UI" panose="020B0502040204020203" pitchFamily="34" charset="0"/>
            </a:rPr>
            <a:t>Date: 11/06/2025</a:t>
          </a:r>
        </a:p>
        <a:p>
          <a:pPr algn="l"/>
          <a:r>
            <a:rPr lang="en-GB" sz="1100" b="1" u="none">
              <a:solidFill>
                <a:schemeClr val="tx1"/>
              </a:solidFill>
              <a:latin typeface="Segoe UI" panose="020B0502040204020203" pitchFamily="34" charset="0"/>
              <a:cs typeface="Segoe UI" panose="020B0502040204020203" pitchFamily="34" charset="0"/>
            </a:rPr>
            <a:t>For further information contact: lucy.morgan48@nhs.net</a:t>
          </a:r>
        </a:p>
        <a:p>
          <a:pPr algn="l"/>
          <a:endParaRPr lang="en-GB" sz="1100" b="1" u="none">
            <a:solidFill>
              <a:schemeClr val="tx1"/>
            </a:solidFill>
            <a:latin typeface="Segoe UI" panose="020B0502040204020203" pitchFamily="34" charset="0"/>
            <a:cs typeface="Segoe UI" panose="020B0502040204020203" pitchFamily="34" charset="0"/>
          </a:endParaRPr>
        </a:p>
        <a:p>
          <a:pPr algn="l"/>
          <a:r>
            <a:rPr lang="en-GB" sz="1100" b="1" u="none">
              <a:solidFill>
                <a:schemeClr val="tx1"/>
              </a:solidFill>
              <a:latin typeface="Segoe UI" panose="020B0502040204020203" pitchFamily="34" charset="0"/>
              <a:cs typeface="Segoe UI" panose="020B0502040204020203" pitchFamily="34" charset="0"/>
            </a:rPr>
            <a:t>Acknowledgements:</a:t>
          </a:r>
          <a:r>
            <a:rPr lang="en-GB" sz="1100" b="1" u="none" baseline="0">
              <a:solidFill>
                <a:schemeClr val="tx1"/>
              </a:solidFill>
              <a:latin typeface="Segoe UI" panose="020B0502040204020203" pitchFamily="34" charset="0"/>
              <a:cs typeface="Segoe UI" panose="020B0502040204020203" pitchFamily="34" charset="0"/>
            </a:rPr>
            <a:t> </a:t>
          </a:r>
          <a:r>
            <a:rPr lang="en-GB" sz="1100" b="0" u="none" baseline="0">
              <a:solidFill>
                <a:schemeClr val="tx1"/>
              </a:solidFill>
              <a:latin typeface="Segoe UI" panose="020B0502040204020203" pitchFamily="34" charset="0"/>
              <a:cs typeface="Segoe UI" panose="020B0502040204020203" pitchFamily="34" charset="0"/>
            </a:rPr>
            <a:t>Thanks to Yiwen Hon, Heather Humphreys, Sally Thompson and Jennifer Wood at The Strategy Unit for their input into the </a:t>
          </a:r>
        </a:p>
        <a:p>
          <a:pPr algn="l"/>
          <a:r>
            <a:rPr lang="en-GB" sz="1100" b="0" u="none" baseline="0">
              <a:solidFill>
                <a:schemeClr val="tx1"/>
              </a:solidFill>
              <a:latin typeface="Segoe UI" panose="020B0502040204020203" pitchFamily="34" charset="0"/>
              <a:cs typeface="Segoe UI" panose="020B0502040204020203" pitchFamily="34" charset="0"/>
            </a:rPr>
            <a:t>design, build and analysis process. Thanks also go to Professor Mark Lambie and Marie Atkins from Midlands Renal Network for feedback, validation</a:t>
          </a:r>
        </a:p>
        <a:p>
          <a:pPr algn="l"/>
          <a:r>
            <a:rPr lang="en-GB" sz="1100" b="0" u="none" baseline="0">
              <a:solidFill>
                <a:schemeClr val="tx1"/>
              </a:solidFill>
              <a:latin typeface="Segoe UI" panose="020B0502040204020203" pitchFamily="34" charset="0"/>
              <a:cs typeface="Segoe UI" panose="020B0502040204020203" pitchFamily="34" charset="0"/>
            </a:rPr>
            <a:t>and dissemination of the tool. Additional thanks go to external expert advisor Professor Antuela Tako from Nottingham University.</a:t>
          </a:r>
          <a:r>
            <a:rPr lang="en-GB" sz="1100" b="0" u="none">
              <a:solidFill>
                <a:schemeClr val="tx1"/>
              </a:solidFill>
              <a:latin typeface="Segoe UI" panose="020B0502040204020203" pitchFamily="34" charset="0"/>
              <a:cs typeface="Segoe UI" panose="020B0502040204020203" pitchFamily="34" charset="0"/>
            </a:rPr>
            <a:t> </a:t>
          </a:r>
          <a:endParaRPr lang="en-GB" sz="1100" b="0">
            <a:solidFill>
              <a:schemeClr val="tx1"/>
            </a:solidFill>
            <a:latin typeface="Segoe UI" panose="020B0502040204020203" pitchFamily="34" charset="0"/>
            <a:cs typeface="Segoe UI" panose="020B0502040204020203" pitchFamily="34" charset="0"/>
          </a:endParaRPr>
        </a:p>
      </xdr:txBody>
    </xdr:sp>
    <xdr:clientData/>
  </xdr:twoCellAnchor>
  <xdr:twoCellAnchor editAs="oneCell">
    <xdr:from>
      <xdr:col>16</xdr:col>
      <xdr:colOff>596705</xdr:colOff>
      <xdr:row>0</xdr:row>
      <xdr:rowOff>117231</xdr:rowOff>
    </xdr:from>
    <xdr:to>
      <xdr:col>18</xdr:col>
      <xdr:colOff>589086</xdr:colOff>
      <xdr:row>5</xdr:row>
      <xdr:rowOff>167776</xdr:rowOff>
    </xdr:to>
    <xdr:pic>
      <xdr:nvPicPr>
        <xdr:cNvPr id="5" name="Picture 4">
          <a:extLst>
            <a:ext uri="{FF2B5EF4-FFF2-40B4-BE49-F238E27FC236}">
              <a16:creationId xmlns:a16="http://schemas.microsoft.com/office/drawing/2014/main" id="{07422D33-B5F5-4269-AB3D-3C58980E645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64705" y="117231"/>
          <a:ext cx="1325881" cy="1112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xdr:colOff>
      <xdr:row>0</xdr:row>
      <xdr:rowOff>0</xdr:rowOff>
    </xdr:from>
    <xdr:to>
      <xdr:col>2</xdr:col>
      <xdr:colOff>53341</xdr:colOff>
      <xdr:row>31</xdr:row>
      <xdr:rowOff>91440</xdr:rowOff>
    </xdr:to>
    <xdr:pic>
      <xdr:nvPicPr>
        <xdr:cNvPr id="6" name="Picture 5">
          <a:extLst>
            <a:ext uri="{FF2B5EF4-FFF2-40B4-BE49-F238E27FC236}">
              <a16:creationId xmlns:a16="http://schemas.microsoft.com/office/drawing/2014/main" id="{6470C1F6-4095-44F6-8974-5291459F3EE0}"/>
            </a:ext>
          </a:extLst>
        </xdr:cNvPr>
        <xdr:cNvPicPr>
          <a:picLocks noChangeAspect="1"/>
        </xdr:cNvPicPr>
      </xdr:nvPicPr>
      <xdr:blipFill rotWithShape="1">
        <a:blip xmlns:r="http://schemas.openxmlformats.org/officeDocument/2006/relationships" r:embed="rId2"/>
        <a:srcRect r="80662"/>
        <a:stretch>
          <a:fillRect/>
        </a:stretch>
      </xdr:blipFill>
      <xdr:spPr>
        <a:xfrm>
          <a:off x="1" y="0"/>
          <a:ext cx="1390650" cy="6591300"/>
        </a:xfrm>
        <a:prstGeom prst="rect">
          <a:avLst/>
        </a:prstGeom>
      </xdr:spPr>
    </xdr:pic>
    <xdr:clientData/>
  </xdr:twoCellAnchor>
  <xdr:twoCellAnchor editAs="oneCell">
    <xdr:from>
      <xdr:col>16</xdr:col>
      <xdr:colOff>91440</xdr:colOff>
      <xdr:row>16</xdr:row>
      <xdr:rowOff>160020</xdr:rowOff>
    </xdr:from>
    <xdr:to>
      <xdr:col>18</xdr:col>
      <xdr:colOff>590709</xdr:colOff>
      <xdr:row>25</xdr:row>
      <xdr:rowOff>74835</xdr:rowOff>
    </xdr:to>
    <xdr:pic>
      <xdr:nvPicPr>
        <xdr:cNvPr id="9" name="Picture 8">
          <a:extLst>
            <a:ext uri="{FF2B5EF4-FFF2-40B4-BE49-F238E27FC236}">
              <a16:creationId xmlns:a16="http://schemas.microsoft.com/office/drawing/2014/main" id="{CA5D07FF-B5D0-A6D2-A39E-1C1C808629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98480" y="4853940"/>
          <a:ext cx="1828959" cy="183505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21</xdr:col>
      <xdr:colOff>143934</xdr:colOff>
      <xdr:row>0</xdr:row>
      <xdr:rowOff>155574</xdr:rowOff>
    </xdr:from>
    <xdr:to>
      <xdr:col>22</xdr:col>
      <xdr:colOff>474132</xdr:colOff>
      <xdr:row>4</xdr:row>
      <xdr:rowOff>143536</xdr:rowOff>
    </xdr:to>
    <xdr:pic>
      <xdr:nvPicPr>
        <xdr:cNvPr id="2" name="Picture 1">
          <a:extLst>
            <a:ext uri="{FF2B5EF4-FFF2-40B4-BE49-F238E27FC236}">
              <a16:creationId xmlns:a16="http://schemas.microsoft.com/office/drawing/2014/main" id="{2C1D9A66-DA54-4F33-9BC7-94290B567B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3779" y="155574"/>
          <a:ext cx="1002663" cy="828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244702</xdr:colOff>
      <xdr:row>26</xdr:row>
      <xdr:rowOff>127000</xdr:rowOff>
    </xdr:to>
    <xdr:pic>
      <xdr:nvPicPr>
        <xdr:cNvPr id="3" name="Picture 2">
          <a:extLst>
            <a:ext uri="{FF2B5EF4-FFF2-40B4-BE49-F238E27FC236}">
              <a16:creationId xmlns:a16="http://schemas.microsoft.com/office/drawing/2014/main" id="{74A5D088-1365-411C-99F1-CB146E9BA327}"/>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52" cy="5630333"/>
        </a:xfrm>
        <a:prstGeom prst="rect">
          <a:avLst/>
        </a:prstGeom>
      </xdr:spPr>
    </xdr:pic>
    <xdr:clientData/>
  </xdr:twoCellAnchor>
  <xdr:oneCellAnchor>
    <xdr:from>
      <xdr:col>1</xdr:col>
      <xdr:colOff>296333</xdr:colOff>
      <xdr:row>0</xdr:row>
      <xdr:rowOff>160867</xdr:rowOff>
    </xdr:from>
    <xdr:ext cx="13284200" cy="812799"/>
    <xdr:sp macro="" textlink="">
      <xdr:nvSpPr>
        <xdr:cNvPr id="4" name="TextBox 3">
          <a:extLst>
            <a:ext uri="{FF2B5EF4-FFF2-40B4-BE49-F238E27FC236}">
              <a16:creationId xmlns:a16="http://schemas.microsoft.com/office/drawing/2014/main" id="{0E0C56EE-7F69-41E2-B10B-23AE31D86562}"/>
            </a:ext>
          </a:extLst>
        </xdr:cNvPr>
        <xdr:cNvSpPr txBox="1"/>
      </xdr:nvSpPr>
      <xdr:spPr>
        <a:xfrm>
          <a:off x="961178" y="162772"/>
          <a:ext cx="13284200"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Background and context</a:t>
          </a:r>
        </a:p>
      </xdr:txBody>
    </xdr:sp>
    <xdr:clientData/>
  </xdr:oneCellAnchor>
  <xdr:twoCellAnchor>
    <xdr:from>
      <xdr:col>9</xdr:col>
      <xdr:colOff>591820</xdr:colOff>
      <xdr:row>9</xdr:row>
      <xdr:rowOff>21195</xdr:rowOff>
    </xdr:from>
    <xdr:to>
      <xdr:col>16</xdr:col>
      <xdr:colOff>10472</xdr:colOff>
      <xdr:row>26</xdr:row>
      <xdr:rowOff>93980</xdr:rowOff>
    </xdr:to>
    <xdr:sp macro="" textlink="">
      <xdr:nvSpPr>
        <xdr:cNvPr id="5" name="Rectangle: Rounded Corners 4">
          <a:extLst>
            <a:ext uri="{FF2B5EF4-FFF2-40B4-BE49-F238E27FC236}">
              <a16:creationId xmlns:a16="http://schemas.microsoft.com/office/drawing/2014/main" id="{CD75BD09-DBEB-4A46-93F4-C39FFA1DB009}"/>
            </a:ext>
          </a:extLst>
        </xdr:cNvPr>
        <xdr:cNvSpPr/>
      </xdr:nvSpPr>
      <xdr:spPr>
        <a:xfrm>
          <a:off x="6592570" y="1926195"/>
          <a:ext cx="4085902" cy="3671118"/>
        </a:xfrm>
        <a:prstGeom prst="roundRect">
          <a:avLst>
            <a:gd name="adj" fmla="val 2282"/>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Objectives:</a:t>
          </a:r>
        </a:p>
        <a:p>
          <a:pPr lvl="0" rtl="0" fontAlgn="base"/>
          <a:r>
            <a:rPr lang="en-GB" sz="1100" b="0" i="0" u="none" strike="noStrike">
              <a:solidFill>
                <a:schemeClr val="dk1"/>
              </a:solidFill>
              <a:effectLst/>
              <a:latin typeface="Segoe UI" panose="020B0502040204020203" pitchFamily="34" charset="0"/>
              <a:ea typeface="+mn-ea"/>
              <a:cs typeface="Segoe UI" panose="020B0502040204020203" pitchFamily="34" charset="0"/>
            </a:rPr>
            <a:t>- To enable organisations to visualise the</a:t>
          </a:r>
          <a:r>
            <a:rPr lang="en-GB" sz="1100" b="0" i="0" u="none" strike="noStrike" baseline="0">
              <a:solidFill>
                <a:schemeClr val="dk1"/>
              </a:solidFill>
              <a:effectLst/>
              <a:latin typeface="Segoe UI" panose="020B0502040204020203" pitchFamily="34" charset="0"/>
              <a:ea typeface="+mn-ea"/>
              <a:cs typeface="Segoe UI" panose="020B0502040204020203" pitchFamily="34" charset="0"/>
            </a:rPr>
            <a:t> KRT</a:t>
          </a:r>
          <a:r>
            <a:rPr lang="en-GB" sz="1100" b="0" i="0" u="none" strike="noStrike">
              <a:solidFill>
                <a:schemeClr val="dk1"/>
              </a:solidFill>
              <a:effectLst/>
              <a:latin typeface="Segoe UI" panose="020B0502040204020203" pitchFamily="34" charset="0"/>
              <a:ea typeface="+mn-ea"/>
              <a:cs typeface="Segoe UI" panose="020B0502040204020203" pitchFamily="34" charset="0"/>
            </a:rPr>
            <a:t> system and its influences, to explore different ‘what if’ scenarios, and inform decisions on how to influence the system.</a:t>
          </a:r>
          <a:r>
            <a:rPr lang="en-US" sz="1100" b="0" i="0">
              <a:solidFill>
                <a:schemeClr val="dk1"/>
              </a:solidFill>
              <a:effectLst/>
              <a:latin typeface="Segoe UI" panose="020B0502040204020203" pitchFamily="34" charset="0"/>
              <a:ea typeface="+mn-ea"/>
              <a:cs typeface="Segoe UI" panose="020B0502040204020203" pitchFamily="34" charset="0"/>
            </a:rPr>
            <a:t>​</a:t>
          </a:r>
        </a:p>
        <a:p>
          <a:pPr lvl="0" rtl="0" fontAlgn="base"/>
          <a:endParaRPr lang="en-US" sz="1100" b="0" i="0">
            <a:solidFill>
              <a:schemeClr val="dk1"/>
            </a:solidFill>
            <a:effectLst/>
            <a:latin typeface="Segoe UI" panose="020B0502040204020203" pitchFamily="34" charset="0"/>
            <a:ea typeface="+mn-ea"/>
            <a:cs typeface="Segoe UI" panose="020B0502040204020203" pitchFamily="34" charset="0"/>
          </a:endParaRPr>
        </a:p>
        <a:p>
          <a:pPr lvl="0" rtl="0" fontAlgn="base"/>
          <a:r>
            <a:rPr lang="en-US" sz="1100" b="0" i="0">
              <a:solidFill>
                <a:schemeClr val="dk1"/>
              </a:solidFill>
              <a:effectLst/>
              <a:latin typeface="Segoe UI" panose="020B0502040204020203" pitchFamily="34" charset="0"/>
              <a:ea typeface="+mn-ea"/>
              <a:cs typeface="Segoe UI" panose="020B0502040204020203" pitchFamily="34" charset="0"/>
            </a:rPr>
            <a:t>- To m</a:t>
          </a:r>
          <a:r>
            <a:rPr lang="en-GB" sz="1100" b="0" i="0" u="none" strike="noStrike">
              <a:solidFill>
                <a:schemeClr val="dk1"/>
              </a:solidFill>
              <a:effectLst/>
              <a:latin typeface="Segoe UI" panose="020B0502040204020203" pitchFamily="34" charset="0"/>
              <a:ea typeface="+mn-ea"/>
              <a:cs typeface="Segoe UI" panose="020B0502040204020203" pitchFamily="34" charset="0"/>
            </a:rPr>
            <a:t>odel patient treatment pathways and help illustrate changes with demand over time and its impact on capacity</a:t>
          </a:r>
          <a:r>
            <a:rPr lang="en-US" sz="1100" b="0" i="0">
              <a:solidFill>
                <a:schemeClr val="dk1"/>
              </a:solidFill>
              <a:effectLst/>
              <a:latin typeface="Segoe UI" panose="020B0502040204020203" pitchFamily="34" charset="0"/>
              <a:ea typeface="+mn-ea"/>
              <a:cs typeface="Segoe UI" panose="020B0502040204020203" pitchFamily="34" charset="0"/>
            </a:rPr>
            <a:t>​</a:t>
          </a:r>
        </a:p>
        <a:p>
          <a:pPr lvl="0" rtl="0" fontAlgn="base"/>
          <a:endParaRPr lang="en-US" sz="1100" b="0" i="0">
            <a:solidFill>
              <a:schemeClr val="dk1"/>
            </a:solidFill>
            <a:effectLst/>
            <a:latin typeface="Segoe UI" panose="020B0502040204020203" pitchFamily="34" charset="0"/>
            <a:ea typeface="+mn-ea"/>
            <a:cs typeface="Segoe UI" panose="020B0502040204020203" pitchFamily="34" charset="0"/>
          </a:endParaRPr>
        </a:p>
        <a:p>
          <a:pPr lvl="0" rtl="0" fontAlgn="base"/>
          <a:r>
            <a:rPr lang="en-GB" sz="1100" b="0" i="0" u="none" strike="noStrike">
              <a:solidFill>
                <a:schemeClr val="dk1"/>
              </a:solidFill>
              <a:effectLst/>
              <a:latin typeface="Segoe UI" panose="020B0502040204020203" pitchFamily="34" charset="0"/>
              <a:ea typeface="+mn-ea"/>
              <a:cs typeface="Segoe UI" panose="020B0502040204020203" pitchFamily="34" charset="0"/>
            </a:rPr>
            <a:t>-</a:t>
          </a:r>
          <a:r>
            <a:rPr lang="en-GB" sz="1100" b="0" i="0" u="none" strike="noStrike" baseline="0">
              <a:solidFill>
                <a:schemeClr val="dk1"/>
              </a:solidFill>
              <a:effectLst/>
              <a:latin typeface="Segoe UI" panose="020B0502040204020203" pitchFamily="34" charset="0"/>
              <a:ea typeface="+mn-ea"/>
              <a:cs typeface="Segoe UI" panose="020B0502040204020203" pitchFamily="34" charset="0"/>
            </a:rPr>
            <a:t> To allow </a:t>
          </a:r>
          <a:r>
            <a:rPr lang="en-GB" sz="1100" b="0" i="0" u="none" strike="noStrike">
              <a:solidFill>
                <a:schemeClr val="dk1"/>
              </a:solidFill>
              <a:effectLst/>
              <a:latin typeface="Segoe UI" panose="020B0502040204020203" pitchFamily="34" charset="0"/>
              <a:ea typeface="+mn-ea"/>
              <a:cs typeface="Segoe UI" panose="020B0502040204020203" pitchFamily="34" charset="0"/>
            </a:rPr>
            <a:t>risk-free experimentation and scenario building</a:t>
          </a:r>
          <a:r>
            <a:rPr lang="en-US" sz="1100" b="0" i="0">
              <a:solidFill>
                <a:schemeClr val="dk1"/>
              </a:solidFill>
              <a:effectLst/>
              <a:latin typeface="Segoe UI" panose="020B0502040204020203" pitchFamily="34" charset="0"/>
              <a:ea typeface="+mn-ea"/>
              <a:cs typeface="Segoe UI" panose="020B0502040204020203" pitchFamily="34" charset="0"/>
            </a:rPr>
            <a:t>​</a:t>
          </a:r>
        </a:p>
        <a:p>
          <a:pPr lvl="0" rtl="0" fontAlgn="base"/>
          <a:endParaRPr lang="en-US" sz="1100" b="0" i="0">
            <a:solidFill>
              <a:schemeClr val="dk1"/>
            </a:solidFill>
            <a:effectLst/>
            <a:latin typeface="Segoe UI" panose="020B0502040204020203" pitchFamily="34" charset="0"/>
            <a:ea typeface="+mn-ea"/>
            <a:cs typeface="Segoe UI" panose="020B0502040204020203" pitchFamily="34" charset="0"/>
          </a:endParaRPr>
        </a:p>
        <a:p>
          <a:pPr lvl="0" rtl="0" fontAlgn="base"/>
          <a:r>
            <a:rPr lang="en-GB" sz="1100" b="0" i="0" u="none" strike="noStrike">
              <a:solidFill>
                <a:schemeClr val="dk1"/>
              </a:solidFill>
              <a:effectLst/>
              <a:latin typeface="Segoe UI" panose="020B0502040204020203" pitchFamily="34" charset="0"/>
              <a:ea typeface="+mn-ea"/>
              <a:cs typeface="Segoe UI" panose="020B0502040204020203" pitchFamily="34" charset="0"/>
            </a:rPr>
            <a:t>-</a:t>
          </a:r>
          <a:r>
            <a:rPr lang="en-GB" sz="1100" b="0" i="0" u="none" strike="noStrike" baseline="0">
              <a:solidFill>
                <a:schemeClr val="dk1"/>
              </a:solidFill>
              <a:effectLst/>
              <a:latin typeface="Segoe UI" panose="020B0502040204020203" pitchFamily="34" charset="0"/>
              <a:ea typeface="+mn-ea"/>
              <a:cs typeface="Segoe UI" panose="020B0502040204020203" pitchFamily="34" charset="0"/>
            </a:rPr>
            <a:t> To p</a:t>
          </a:r>
          <a:r>
            <a:rPr lang="en-GB" sz="1100" b="0" i="0" u="none" strike="noStrike">
              <a:solidFill>
                <a:schemeClr val="dk1"/>
              </a:solidFill>
              <a:effectLst/>
              <a:latin typeface="Segoe UI" panose="020B0502040204020203" pitchFamily="34" charset="0"/>
              <a:ea typeface="+mn-ea"/>
              <a:cs typeface="Segoe UI" panose="020B0502040204020203" pitchFamily="34" charset="0"/>
            </a:rPr>
            <a:t>rovide evidence to support and defend planned interventions</a:t>
          </a:r>
          <a:r>
            <a:rPr lang="en-US" sz="1100" b="0" i="0">
              <a:solidFill>
                <a:schemeClr val="dk1"/>
              </a:solidFill>
              <a:effectLst/>
              <a:latin typeface="Segoe UI" panose="020B0502040204020203" pitchFamily="34" charset="0"/>
              <a:ea typeface="+mn-ea"/>
              <a:cs typeface="Segoe UI" panose="020B0502040204020203" pitchFamily="34" charset="0"/>
            </a:rPr>
            <a:t>​</a:t>
          </a:r>
        </a:p>
        <a:p>
          <a:pPr lvl="0" rtl="0" fontAlgn="base"/>
          <a:endParaRPr lang="en-US" sz="1100" b="0" i="0">
            <a:solidFill>
              <a:schemeClr val="dk1"/>
            </a:solidFill>
            <a:effectLst/>
            <a:latin typeface="Segoe UI" panose="020B0502040204020203" pitchFamily="34" charset="0"/>
            <a:ea typeface="+mn-ea"/>
            <a:cs typeface="Segoe UI" panose="020B0502040204020203" pitchFamily="34" charset="0"/>
          </a:endParaRPr>
        </a:p>
        <a:p>
          <a:pPr lvl="0" rtl="0" fontAlgn="base"/>
          <a:r>
            <a:rPr lang="en-GB" sz="1100" b="0" i="0" u="none" strike="noStrike">
              <a:solidFill>
                <a:schemeClr val="dk1"/>
              </a:solidFill>
              <a:effectLst/>
              <a:latin typeface="Segoe UI" panose="020B0502040204020203" pitchFamily="34" charset="0"/>
              <a:ea typeface="+mn-ea"/>
              <a:cs typeface="Segoe UI" panose="020B0502040204020203" pitchFamily="34" charset="0"/>
            </a:rPr>
            <a:t>- To provide understanding of the cost/benefit ratio of interventions</a:t>
          </a:r>
          <a:endParaRPr lang="en-GB" sz="1100" b="0" i="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42333</xdr:colOff>
      <xdr:row>9</xdr:row>
      <xdr:rowOff>24918</xdr:rowOff>
    </xdr:from>
    <xdr:to>
      <xdr:col>9</xdr:col>
      <xdr:colOff>499533</xdr:colOff>
      <xdr:row>26</xdr:row>
      <xdr:rowOff>77461</xdr:rowOff>
    </xdr:to>
    <xdr:sp macro="" textlink="">
      <xdr:nvSpPr>
        <xdr:cNvPr id="6" name="Rectangle: Rounded Corners 19">
          <a:extLst>
            <a:ext uri="{FF2B5EF4-FFF2-40B4-BE49-F238E27FC236}">
              <a16:creationId xmlns:a16="http://schemas.microsoft.com/office/drawing/2014/main" id="{FC0CA76D-4585-4F7E-9D8C-67127F0A26C3}"/>
            </a:ext>
          </a:extLst>
        </xdr:cNvPr>
        <xdr:cNvSpPr/>
      </xdr:nvSpPr>
      <xdr:spPr>
        <a:xfrm>
          <a:off x="1377738" y="1907058"/>
          <a:ext cx="5124450" cy="3618703"/>
        </a:xfrm>
        <a:prstGeom prst="roundRect">
          <a:avLst>
            <a:gd name="adj" fmla="val 234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Background: </a:t>
          </a:r>
        </a:p>
        <a:p>
          <a:pPr algn="l"/>
          <a:r>
            <a:rPr lang="en-GB" sz="1100" b="0" i="0" u="none" strike="noStrike">
              <a:solidFill>
                <a:schemeClr val="dk1"/>
              </a:solidFill>
              <a:effectLst/>
              <a:latin typeface="Segoe UI" panose="020B0502040204020203" pitchFamily="34" charset="0"/>
              <a:ea typeface="+mn-ea"/>
              <a:cs typeface="Segoe UI" panose="020B0502040204020203" pitchFamily="34" charset="0"/>
            </a:rPr>
            <a:t>Dialysis centres are struggling with demand and there are concerns about capacity to meet future needs for renal services, particularly in-hospital. There is an expectation that need is going to grow, further challenging capacity through changes in population size and health profile.</a:t>
          </a:r>
        </a:p>
        <a:p>
          <a:pPr algn="l"/>
          <a:endParaRPr lang="en-GB" sz="1100" b="0" i="0" u="none" strike="noStrike">
            <a:solidFill>
              <a:schemeClr val="dk1"/>
            </a:solidFill>
            <a:effectLst/>
            <a:latin typeface="Segoe UI" panose="020B0502040204020203" pitchFamily="34" charset="0"/>
            <a:ea typeface="+mn-ea"/>
            <a:cs typeface="Segoe UI" panose="020B0502040204020203" pitchFamily="34" charset="0"/>
          </a:endParaRPr>
        </a:p>
        <a:p>
          <a:pPr algn="l"/>
          <a:r>
            <a:rPr lang="en-GB" sz="1100" b="0" i="0" u="none" strike="noStrike">
              <a:solidFill>
                <a:schemeClr val="dk1"/>
              </a:solidFill>
              <a:effectLst/>
              <a:latin typeface="Segoe UI" panose="020B0502040204020203" pitchFamily="34" charset="0"/>
              <a:ea typeface="+mn-ea"/>
              <a:cs typeface="Segoe UI" panose="020B0502040204020203" pitchFamily="34" charset="0"/>
            </a:rPr>
            <a:t>This model will facilitate better informed decisions about the future, facilitating "left shift" and ensuring future capacity and good patient outcomes whilst supporting positive change through evidence and analysis. </a:t>
          </a:r>
          <a:endParaRPr lang="en-GB" sz="1100" b="0">
            <a:solidFill>
              <a:schemeClr val="tx1"/>
            </a:solidFill>
            <a:latin typeface="Segoe UI" panose="020B0502040204020203" pitchFamily="34" charset="0"/>
            <a:cs typeface="Segoe UI" panose="020B0502040204020203" pitchFamily="34" charset="0"/>
          </a:endParaRPr>
        </a:p>
        <a:p>
          <a:pPr algn="l"/>
          <a:endParaRPr lang="en-GB" sz="1100" b="0">
            <a:solidFill>
              <a:schemeClr val="tx1"/>
            </a:solidFill>
            <a:latin typeface="Segoe UI" panose="020B0502040204020203" pitchFamily="34" charset="0"/>
            <a:cs typeface="Segoe UI" panose="020B0502040204020203" pitchFamily="34" charset="0"/>
          </a:endParaRPr>
        </a:p>
        <a:p>
          <a:pPr algn="l"/>
          <a:r>
            <a:rPr lang="en-GB" sz="1100" b="0" i="0" u="none" strike="noStrike">
              <a:solidFill>
                <a:schemeClr val="dk1"/>
              </a:solidFill>
              <a:effectLst/>
              <a:latin typeface="Segoe UI" panose="020B0502040204020203" pitchFamily="34" charset="0"/>
              <a:ea typeface="+mn-ea"/>
              <a:cs typeface="Segoe UI" panose="020B0502040204020203" pitchFamily="34" charset="0"/>
            </a:rPr>
            <a:t>The DES model fed by this tool represents the provision of kidney replacement therapy (KRT) including the flow of patients through dialysis and transplantation. </a:t>
          </a:r>
          <a:r>
            <a:rPr lang="en-GB" sz="1100" b="0" i="0">
              <a:solidFill>
                <a:schemeClr val="dk1"/>
              </a:solidFill>
              <a:effectLst/>
              <a:latin typeface="Segoe UI" panose="020B0502040204020203" pitchFamily="34" charset="0"/>
              <a:ea typeface="+mn-ea"/>
              <a:cs typeface="Segoe UI" panose="020B0502040204020203" pitchFamily="34" charset="0"/>
            </a:rPr>
            <a:t>​</a:t>
          </a:r>
        </a:p>
        <a:p>
          <a:pPr algn="l"/>
          <a:endParaRPr lang="en-GB" sz="1100" b="0" baseline="0">
            <a:solidFill>
              <a:schemeClr val="tx1"/>
            </a:solidFill>
            <a:latin typeface="Segoe UI" panose="020B0502040204020203" pitchFamily="34" charset="0"/>
            <a:cs typeface="Segoe UI" panose="020B0502040204020203" pitchFamily="34" charset="0"/>
          </a:endParaRPr>
        </a:p>
        <a:p>
          <a:pPr algn="l"/>
          <a:r>
            <a:rPr lang="en-GB" sz="1100" b="0" baseline="0">
              <a:solidFill>
                <a:schemeClr val="tx1"/>
              </a:solidFill>
              <a:latin typeface="Segoe UI" panose="020B0502040204020203" pitchFamily="34" charset="0"/>
              <a:cs typeface="Segoe UI" panose="020B0502040204020203" pitchFamily="34" charset="0"/>
            </a:rPr>
            <a:t>The model has been validated by expert involvement in the modelling (white-box validation) and quantitative comparison to behaviour of the system between 2010-2022 as recorded in the UKRR data set (black-box validation).</a:t>
          </a:r>
          <a:endParaRPr lang="en-GB" sz="110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59268</xdr:colOff>
      <xdr:row>5</xdr:row>
      <xdr:rowOff>25400</xdr:rowOff>
    </xdr:from>
    <xdr:to>
      <xdr:col>22</xdr:col>
      <xdr:colOff>43890</xdr:colOff>
      <xdr:row>8</xdr:row>
      <xdr:rowOff>84667</xdr:rowOff>
    </xdr:to>
    <xdr:sp macro="" textlink="">
      <xdr:nvSpPr>
        <xdr:cNvPr id="7" name="Rectangle: Rounded Corners 6">
          <a:extLst>
            <a:ext uri="{FF2B5EF4-FFF2-40B4-BE49-F238E27FC236}">
              <a16:creationId xmlns:a16="http://schemas.microsoft.com/office/drawing/2014/main" id="{7C371474-B98E-45B2-9ADC-AAEC1475FAFE}"/>
            </a:ext>
          </a:extLst>
        </xdr:cNvPr>
        <xdr:cNvSpPr/>
      </xdr:nvSpPr>
      <xdr:spPr>
        <a:xfrm>
          <a:off x="1388958" y="1069340"/>
          <a:ext cx="13325337" cy="693632"/>
        </a:xfrm>
        <a:prstGeom prst="roundRect">
          <a:avLst>
            <a:gd name="adj" fmla="val 691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latin typeface="Segoe UI" panose="020B0502040204020203" pitchFamily="34" charset="0"/>
              <a:cs typeface="Segoe UI" panose="020B0502040204020203" pitchFamily="34" charset="0"/>
            </a:rPr>
            <a:t>This tab</a:t>
          </a:r>
          <a:r>
            <a:rPr lang="en-GB" sz="1200" b="1" baseline="0">
              <a:latin typeface="Segoe UI" panose="020B0502040204020203" pitchFamily="34" charset="0"/>
              <a:cs typeface="Segoe UI" panose="020B0502040204020203" pitchFamily="34" charset="0"/>
            </a:rPr>
            <a:t> info / directions:</a:t>
          </a:r>
        </a:p>
        <a:p>
          <a:pPr algn="l"/>
          <a:r>
            <a:rPr lang="en-GB" sz="1100" b="0" baseline="0">
              <a:latin typeface="Segoe UI" panose="020B0502040204020203" pitchFamily="34" charset="0"/>
              <a:cs typeface="Segoe UI" panose="020B0502040204020203" pitchFamily="34" charset="0"/>
            </a:rPr>
            <a:t>Here we provide an overview of the project background and the objectives of the modelling. A helpful list of acronyms is also provided.</a:t>
          </a:r>
          <a:endParaRPr lang="en-GB" sz="1100" b="0">
            <a:latin typeface="Segoe UI" panose="020B0502040204020203" pitchFamily="34" charset="0"/>
            <a:cs typeface="Segoe UI" panose="020B0502040204020203" pitchFamily="34" charset="0"/>
          </a:endParaRPr>
        </a:p>
      </xdr:txBody>
    </xdr:sp>
    <xdr:clientData/>
  </xdr:twoCellAnchor>
  <xdr:twoCellAnchor>
    <xdr:from>
      <xdr:col>16</xdr:col>
      <xdr:colOff>141283</xdr:colOff>
      <xdr:row>9</xdr:row>
      <xdr:rowOff>21590</xdr:rowOff>
    </xdr:from>
    <xdr:to>
      <xdr:col>22</xdr:col>
      <xdr:colOff>20744</xdr:colOff>
      <xdr:row>26</xdr:row>
      <xdr:rowOff>93759</xdr:rowOff>
    </xdr:to>
    <xdr:sp macro="" textlink="">
      <xdr:nvSpPr>
        <xdr:cNvPr id="8" name="Rectangle: Rounded Corners 21">
          <a:extLst>
            <a:ext uri="{FF2B5EF4-FFF2-40B4-BE49-F238E27FC236}">
              <a16:creationId xmlns:a16="http://schemas.microsoft.com/office/drawing/2014/main" id="{ACED2274-E405-45D9-9D29-5225BEFB4979}"/>
            </a:ext>
          </a:extLst>
        </xdr:cNvPr>
        <xdr:cNvSpPr/>
      </xdr:nvSpPr>
      <xdr:spPr>
        <a:xfrm>
          <a:off x="10807378" y="1903730"/>
          <a:ext cx="3878056" cy="3642139"/>
        </a:xfrm>
        <a:prstGeom prst="roundRect">
          <a:avLst>
            <a:gd name="adj" fmla="val 143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Acronyms</a:t>
          </a:r>
          <a:r>
            <a:rPr lang="en-GB" sz="1200" b="1" baseline="0">
              <a:solidFill>
                <a:schemeClr val="tx1"/>
              </a:solidFill>
              <a:latin typeface="Segoe UI" panose="020B0502040204020203" pitchFamily="34" charset="0"/>
              <a:cs typeface="Segoe UI" panose="020B0502040204020203" pitchFamily="34" charset="0"/>
            </a:rPr>
            <a:t>:</a:t>
          </a:r>
          <a:endParaRPr lang="en-GB" sz="1200" b="1" i="1">
            <a:solidFill>
              <a:schemeClr val="tx1"/>
            </a:solidFill>
            <a:effectLst/>
            <a:latin typeface="Segoe UI" panose="020B0502040204020203" pitchFamily="34" charset="0"/>
            <a:ea typeface="+mn-ea"/>
            <a:cs typeface="Segoe UI" panose="020B0502040204020203" pitchFamily="34" charset="0"/>
          </a:endParaRPr>
        </a:p>
        <a:p>
          <a:pPr algn="l"/>
          <a:r>
            <a:rPr lang="en-GB" sz="1100" b="1" i="1">
              <a:solidFill>
                <a:schemeClr val="tx1"/>
              </a:solidFill>
              <a:effectLst/>
              <a:latin typeface="Segoe UI" panose="020B0502040204020203" pitchFamily="34" charset="0"/>
              <a:ea typeface="+mn-ea"/>
              <a:cs typeface="Segoe UI" panose="020B0502040204020203" pitchFamily="34" charset="0"/>
            </a:rPr>
            <a:t>SU</a:t>
          </a:r>
          <a:r>
            <a:rPr lang="en-GB" sz="1100" b="0" i="1">
              <a:solidFill>
                <a:schemeClr val="tx1"/>
              </a:solidFill>
              <a:effectLst/>
              <a:latin typeface="Segoe UI" panose="020B0502040204020203" pitchFamily="34" charset="0"/>
              <a:ea typeface="+mn-ea"/>
              <a:cs typeface="Segoe UI" panose="020B0502040204020203" pitchFamily="34" charset="0"/>
            </a:rPr>
            <a:t> The</a:t>
          </a:r>
          <a:r>
            <a:rPr lang="en-GB" sz="1100" b="0" i="1" baseline="0">
              <a:solidFill>
                <a:schemeClr val="tx1"/>
              </a:solidFill>
              <a:effectLst/>
              <a:latin typeface="Segoe UI" panose="020B0502040204020203" pitchFamily="34" charset="0"/>
              <a:ea typeface="+mn-ea"/>
              <a:cs typeface="Segoe UI" panose="020B0502040204020203" pitchFamily="34" charset="0"/>
            </a:rPr>
            <a:t> Strategy Unit</a:t>
          </a:r>
        </a:p>
        <a:p>
          <a:pPr algn="l"/>
          <a:r>
            <a:rPr lang="en-GB" sz="1100" b="1" i="1" baseline="0">
              <a:solidFill>
                <a:schemeClr val="tx1"/>
              </a:solidFill>
              <a:effectLst/>
              <a:latin typeface="Segoe UI" panose="020B0502040204020203" pitchFamily="34" charset="0"/>
              <a:ea typeface="+mn-ea"/>
              <a:cs typeface="Segoe UI" panose="020B0502040204020203" pitchFamily="34" charset="0"/>
            </a:rPr>
            <a:t>DES </a:t>
          </a:r>
          <a:r>
            <a:rPr lang="en-GB" sz="1100" b="0" i="1" baseline="0">
              <a:solidFill>
                <a:schemeClr val="tx1"/>
              </a:solidFill>
              <a:effectLst/>
              <a:latin typeface="Segoe UI" panose="020B0502040204020203" pitchFamily="34" charset="0"/>
              <a:ea typeface="+mn-ea"/>
              <a:cs typeface="Segoe UI" panose="020B0502040204020203" pitchFamily="34" charset="0"/>
            </a:rPr>
            <a:t>Discrete Event Simulation</a:t>
          </a:r>
        </a:p>
        <a:p>
          <a:pPr algn="l"/>
          <a:endParaRPr lang="en-GB" sz="1100" b="0" i="1" baseline="0">
            <a:solidFill>
              <a:schemeClr val="tx1"/>
            </a:solidFill>
            <a:effectLst/>
            <a:latin typeface="Segoe UI" panose="020B0502040204020203" pitchFamily="34" charset="0"/>
            <a:ea typeface="+mn-ea"/>
            <a:cs typeface="Segoe UI" panose="020B0502040204020203" pitchFamily="34" charset="0"/>
          </a:endParaRPr>
        </a:p>
        <a:p>
          <a:pPr algn="l"/>
          <a:r>
            <a:rPr lang="en-GB" sz="1100" b="1" i="1" baseline="0">
              <a:solidFill>
                <a:schemeClr val="tx1"/>
              </a:solidFill>
              <a:effectLst/>
              <a:latin typeface="Segoe UI" panose="020B0502040204020203" pitchFamily="34" charset="0"/>
              <a:ea typeface="+mn-ea"/>
              <a:cs typeface="Segoe UI" panose="020B0502040204020203" pitchFamily="34" charset="0"/>
            </a:rPr>
            <a:t>KRT </a:t>
          </a:r>
          <a:r>
            <a:rPr lang="en-GB" sz="1100" b="0" i="1" baseline="0">
              <a:solidFill>
                <a:schemeClr val="tx1"/>
              </a:solidFill>
              <a:effectLst/>
              <a:latin typeface="Segoe UI" panose="020B0502040204020203" pitchFamily="34" charset="0"/>
              <a:ea typeface="+mn-ea"/>
              <a:cs typeface="Segoe UI" panose="020B0502040204020203" pitchFamily="34" charset="0"/>
            </a:rPr>
            <a:t>Kidney replacement therapy</a:t>
          </a:r>
        </a:p>
        <a:p>
          <a:pPr algn="l"/>
          <a:r>
            <a:rPr lang="en-GB" sz="1100" b="1" i="1" baseline="0">
              <a:solidFill>
                <a:schemeClr val="tx1"/>
              </a:solidFill>
              <a:effectLst/>
              <a:latin typeface="Segoe UI" panose="020B0502040204020203" pitchFamily="34" charset="0"/>
              <a:ea typeface="+mn-ea"/>
              <a:cs typeface="Segoe UI" panose="020B0502040204020203" pitchFamily="34" charset="0"/>
            </a:rPr>
            <a:t>UKRR </a:t>
          </a:r>
          <a:r>
            <a:rPr lang="en-GB" sz="1100" b="0" i="1" baseline="0">
              <a:solidFill>
                <a:schemeClr val="tx1"/>
              </a:solidFill>
              <a:effectLst/>
              <a:latin typeface="Segoe UI" panose="020B0502040204020203" pitchFamily="34" charset="0"/>
              <a:ea typeface="+mn-ea"/>
              <a:cs typeface="Segoe UI" panose="020B0502040204020203" pitchFamily="34" charset="0"/>
            </a:rPr>
            <a:t>UK Renal Registry</a:t>
          </a:r>
          <a:endParaRPr lang="en-GB" sz="1100" b="1" i="1" baseline="0">
            <a:solidFill>
              <a:schemeClr val="tx1"/>
            </a:solidFill>
            <a:effectLst/>
            <a:latin typeface="Segoe UI" panose="020B0502040204020203" pitchFamily="34" charset="0"/>
            <a:ea typeface="+mn-ea"/>
            <a:cs typeface="Segoe UI" panose="020B0502040204020203" pitchFamily="34" charset="0"/>
          </a:endParaRPr>
        </a:p>
        <a:p>
          <a:pPr algn="l"/>
          <a:r>
            <a:rPr lang="en-GB" sz="1100" b="1" i="1" baseline="0">
              <a:solidFill>
                <a:schemeClr val="tx1"/>
              </a:solidFill>
              <a:effectLst/>
              <a:latin typeface="Segoe UI" panose="020B0502040204020203" pitchFamily="34" charset="0"/>
              <a:ea typeface="+mn-ea"/>
              <a:cs typeface="Segoe UI" panose="020B0502040204020203" pitchFamily="34" charset="0"/>
            </a:rPr>
            <a:t>ICHD </a:t>
          </a:r>
          <a:r>
            <a:rPr lang="en-GB" sz="1100" b="0" i="1" baseline="0">
              <a:solidFill>
                <a:schemeClr val="tx1"/>
              </a:solidFill>
              <a:effectLst/>
              <a:latin typeface="Segoe UI" panose="020B0502040204020203" pitchFamily="34" charset="0"/>
              <a:ea typeface="+mn-ea"/>
              <a:cs typeface="Segoe UI" panose="020B0502040204020203" pitchFamily="34" charset="0"/>
            </a:rPr>
            <a:t>in-centre heamodialysis</a:t>
          </a:r>
        </a:p>
        <a:p>
          <a:pPr algn="l"/>
          <a:r>
            <a:rPr lang="en-GB" sz="1100" b="1" i="1" baseline="0">
              <a:solidFill>
                <a:schemeClr val="tx1"/>
              </a:solidFill>
              <a:effectLst/>
              <a:latin typeface="Segoe UI" panose="020B0502040204020203" pitchFamily="34" charset="0"/>
              <a:ea typeface="+mn-ea"/>
              <a:cs typeface="Segoe UI" panose="020B0502040204020203" pitchFamily="34" charset="0"/>
            </a:rPr>
            <a:t>HHD </a:t>
          </a:r>
          <a:r>
            <a:rPr lang="en-GB" sz="1100" b="0" i="1" baseline="0">
              <a:solidFill>
                <a:schemeClr val="tx1"/>
              </a:solidFill>
              <a:effectLst/>
              <a:latin typeface="Segoe UI" panose="020B0502040204020203" pitchFamily="34" charset="0"/>
              <a:ea typeface="+mn-ea"/>
              <a:cs typeface="Segoe UI" panose="020B0502040204020203" pitchFamily="34" charset="0"/>
            </a:rPr>
            <a:t>home haemodialysis</a:t>
          </a:r>
        </a:p>
        <a:p>
          <a:pPr algn="l"/>
          <a:r>
            <a:rPr lang="en-GB" sz="1100" b="1" i="1" baseline="0">
              <a:solidFill>
                <a:schemeClr val="tx1"/>
              </a:solidFill>
              <a:effectLst/>
              <a:latin typeface="Segoe UI" panose="020B0502040204020203" pitchFamily="34" charset="0"/>
              <a:ea typeface="+mn-ea"/>
              <a:cs typeface="Segoe UI" panose="020B0502040204020203" pitchFamily="34" charset="0"/>
            </a:rPr>
            <a:t>PD </a:t>
          </a:r>
          <a:r>
            <a:rPr lang="en-GB" sz="1100" b="0" i="1" baseline="0">
              <a:solidFill>
                <a:schemeClr val="tx1"/>
              </a:solidFill>
              <a:effectLst/>
              <a:latin typeface="Segoe UI" panose="020B0502040204020203" pitchFamily="34" charset="0"/>
              <a:ea typeface="+mn-ea"/>
              <a:cs typeface="Segoe UI" panose="020B0502040204020203" pitchFamily="34" charset="0"/>
            </a:rPr>
            <a:t>peritonial dialysis</a:t>
          </a:r>
        </a:p>
        <a:p>
          <a:pPr algn="l"/>
          <a:r>
            <a:rPr lang="en-GB" sz="1100" b="1" i="1" baseline="0">
              <a:solidFill>
                <a:schemeClr val="tx1"/>
              </a:solidFill>
              <a:effectLst/>
              <a:latin typeface="Segoe UI" panose="020B0502040204020203" pitchFamily="34" charset="0"/>
              <a:ea typeface="+mn-ea"/>
              <a:cs typeface="Segoe UI" panose="020B0502040204020203" pitchFamily="34" charset="0"/>
            </a:rPr>
            <a:t>Tx</a:t>
          </a:r>
          <a:r>
            <a:rPr lang="en-GB" sz="1100" b="0" i="1" baseline="0">
              <a:solidFill>
                <a:schemeClr val="tx1"/>
              </a:solidFill>
              <a:effectLst/>
              <a:latin typeface="Segoe UI" panose="020B0502040204020203" pitchFamily="34" charset="0"/>
              <a:ea typeface="+mn-ea"/>
              <a:cs typeface="Segoe UI" panose="020B0502040204020203" pitchFamily="34" charset="0"/>
            </a:rPr>
            <a:t> Transplant</a:t>
          </a:r>
          <a:endParaRPr lang="en-GB" sz="1100" b="1" i="1" baseline="0">
            <a:solidFill>
              <a:schemeClr val="tx1"/>
            </a:solidFill>
            <a:effectLst/>
            <a:latin typeface="Segoe UI" panose="020B0502040204020203" pitchFamily="34" charset="0"/>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200" b="0" i="1"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endParaRPr>
        </a:p>
        <a:p>
          <a:pPr algn="l"/>
          <a:r>
            <a:rPr lang="en-GB" sz="1200" b="0" i="1" baseline="0">
              <a:solidFill>
                <a:schemeClr val="tx1"/>
              </a:solidFill>
              <a:effectLst/>
              <a:latin typeface="Segoe UI" panose="020B0502040204020203" pitchFamily="34" charset="0"/>
              <a:ea typeface="+mn-ea"/>
              <a:cs typeface="Segoe UI" panose="020B0502040204020203" pitchFamily="34" charset="0"/>
            </a:rPr>
            <a:t> </a:t>
          </a:r>
        </a:p>
        <a:p>
          <a:pPr algn="l"/>
          <a:endParaRPr lang="en-GB" sz="1200" b="0" i="1" baseline="0">
            <a:solidFill>
              <a:schemeClr val="tx1"/>
            </a:solidFill>
            <a:effectLst/>
            <a:latin typeface="Segoe UI" panose="020B0502040204020203" pitchFamily="34" charset="0"/>
            <a:ea typeface="+mn-ea"/>
            <a:cs typeface="Segoe UI" panose="020B0502040204020203" pitchFamily="34" charset="0"/>
          </a:endParaRPr>
        </a:p>
        <a:p>
          <a:pPr algn="l"/>
          <a:endParaRPr lang="en-GB" sz="1200" b="0" i="1">
            <a:solidFill>
              <a:schemeClr val="tx1"/>
            </a:solidFill>
            <a:effectLst/>
            <a:latin typeface="Segoe UI" panose="020B0502040204020203" pitchFamily="34" charset="0"/>
            <a:ea typeface="+mn-ea"/>
            <a:cs typeface="Segoe UI" panose="020B0502040204020203" pitchFamily="34" charset="0"/>
          </a:endParaRPr>
        </a:p>
        <a:p>
          <a:pPr algn="l"/>
          <a:endParaRPr lang="en-GB" sz="1200" b="0" i="1">
            <a:solidFill>
              <a:schemeClr val="tx1"/>
            </a:solidFill>
            <a:effectLst/>
            <a:latin typeface="Segoe UI" panose="020B0502040204020203" pitchFamily="34" charset="0"/>
            <a:ea typeface="+mn-ea"/>
            <a:cs typeface="Segoe UI" panose="020B0502040204020203"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143934</xdr:colOff>
      <xdr:row>0</xdr:row>
      <xdr:rowOff>155574</xdr:rowOff>
    </xdr:from>
    <xdr:to>
      <xdr:col>22</xdr:col>
      <xdr:colOff>474132</xdr:colOff>
      <xdr:row>4</xdr:row>
      <xdr:rowOff>143536</xdr:rowOff>
    </xdr:to>
    <xdr:pic>
      <xdr:nvPicPr>
        <xdr:cNvPr id="2" name="Picture 1">
          <a:extLst>
            <a:ext uri="{FF2B5EF4-FFF2-40B4-BE49-F238E27FC236}">
              <a16:creationId xmlns:a16="http://schemas.microsoft.com/office/drawing/2014/main" id="{59FC9374-F1D1-46BB-B21A-0EE53A67A8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3779" y="155574"/>
          <a:ext cx="1002663" cy="828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248512</xdr:colOff>
      <xdr:row>30</xdr:row>
      <xdr:rowOff>88476</xdr:rowOff>
    </xdr:to>
    <xdr:pic>
      <xdr:nvPicPr>
        <xdr:cNvPr id="3" name="Picture 2">
          <a:extLst>
            <a:ext uri="{FF2B5EF4-FFF2-40B4-BE49-F238E27FC236}">
              <a16:creationId xmlns:a16="http://schemas.microsoft.com/office/drawing/2014/main" id="{E017016B-1119-4575-8AC6-800A68EBC316}"/>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52" cy="6373071"/>
        </a:xfrm>
        <a:prstGeom prst="rect">
          <a:avLst/>
        </a:prstGeom>
      </xdr:spPr>
    </xdr:pic>
    <xdr:clientData/>
  </xdr:twoCellAnchor>
  <xdr:oneCellAnchor>
    <xdr:from>
      <xdr:col>1</xdr:col>
      <xdr:colOff>287867</xdr:colOff>
      <xdr:row>0</xdr:row>
      <xdr:rowOff>160867</xdr:rowOff>
    </xdr:from>
    <xdr:ext cx="13292666" cy="812799"/>
    <xdr:sp macro="" textlink="">
      <xdr:nvSpPr>
        <xdr:cNvPr id="4" name="TextBox 3">
          <a:extLst>
            <a:ext uri="{FF2B5EF4-FFF2-40B4-BE49-F238E27FC236}">
              <a16:creationId xmlns:a16="http://schemas.microsoft.com/office/drawing/2014/main" id="{44AA0052-912B-4574-B58F-FCF5700A40F8}"/>
            </a:ext>
          </a:extLst>
        </xdr:cNvPr>
        <xdr:cNvSpPr txBox="1"/>
      </xdr:nvSpPr>
      <xdr:spPr>
        <a:xfrm>
          <a:off x="950807" y="162772"/>
          <a:ext cx="13292666"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DES Pathway Map</a:t>
          </a:r>
        </a:p>
      </xdr:txBody>
    </xdr:sp>
    <xdr:clientData/>
  </xdr:oneCellAnchor>
  <xdr:twoCellAnchor>
    <xdr:from>
      <xdr:col>2</xdr:col>
      <xdr:colOff>53340</xdr:colOff>
      <xdr:row>5</xdr:row>
      <xdr:rowOff>19049</xdr:rowOff>
    </xdr:from>
    <xdr:to>
      <xdr:col>4</xdr:col>
      <xdr:colOff>434340</xdr:colOff>
      <xdr:row>29</xdr:row>
      <xdr:rowOff>57979</xdr:rowOff>
    </xdr:to>
    <xdr:sp macro="" textlink="">
      <xdr:nvSpPr>
        <xdr:cNvPr id="5" name="Rectangle: Rounded Corners 4">
          <a:extLst>
            <a:ext uri="{FF2B5EF4-FFF2-40B4-BE49-F238E27FC236}">
              <a16:creationId xmlns:a16="http://schemas.microsoft.com/office/drawing/2014/main" id="{0671E9FB-F7E0-42F7-B038-FD82614F42A4}"/>
            </a:ext>
            <a:ext uri="{147F2762-F138-4A5C-976F-8EAC2B608ADB}">
              <a16:predDERef xmlns:a16="http://schemas.microsoft.com/office/drawing/2014/main" pred="{44AA0052-912B-4574-B58F-FCF5700A40F8}"/>
            </a:ext>
          </a:extLst>
        </xdr:cNvPr>
        <xdr:cNvSpPr/>
      </xdr:nvSpPr>
      <xdr:spPr>
        <a:xfrm>
          <a:off x="1395123" y="1054375"/>
          <a:ext cx="1722782" cy="5008495"/>
        </a:xfrm>
        <a:prstGeom prst="roundRect">
          <a:avLst>
            <a:gd name="adj" fmla="val 608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latin typeface="Segoe UI" panose="020B0502040204020203" pitchFamily="34" charset="0"/>
              <a:cs typeface="Segoe UI" panose="020B0502040204020203" pitchFamily="34" charset="0"/>
            </a:rPr>
            <a:t>This tab</a:t>
          </a:r>
          <a:r>
            <a:rPr lang="en-GB" sz="1200" b="1" baseline="0">
              <a:latin typeface="Segoe UI" panose="020B0502040204020203" pitchFamily="34" charset="0"/>
              <a:cs typeface="Segoe UI" panose="020B0502040204020203" pitchFamily="34" charset="0"/>
            </a:rPr>
            <a:t> info / directions:</a:t>
          </a:r>
        </a:p>
        <a:p>
          <a:pPr algn="l"/>
          <a:endParaRPr lang="en-GB" sz="1200" b="1"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This conceptual diagram underpins our understanding of KRT patient pathways.</a:t>
          </a:r>
        </a:p>
        <a:p>
          <a:pPr algn="l"/>
          <a:endParaRPr lang="en-GB" sz="1200" b="0"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The model has been constructed to mirror this diagram and logic. </a:t>
          </a:r>
        </a:p>
        <a:p>
          <a:pPr algn="l"/>
          <a:endParaRPr lang="en-GB" sz="1200" b="0"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The model was constructed and validated via the process of participative modelling. Taking in the perspective ofa range of stakeholders including clinicians and patients.</a:t>
          </a:r>
          <a:endParaRPr lang="en-GB" sz="1200" b="0">
            <a:latin typeface="Segoe UI" panose="020B0502040204020203" pitchFamily="34" charset="0"/>
            <a:cs typeface="Segoe UI" panose="020B0502040204020203" pitchFamily="34" charset="0"/>
          </a:endParaRPr>
        </a:p>
      </xdr:txBody>
    </xdr:sp>
    <xdr:clientData/>
  </xdr:twoCellAnchor>
  <xdr:twoCellAnchor editAs="oneCell">
    <xdr:from>
      <xdr:col>5</xdr:col>
      <xdr:colOff>28575</xdr:colOff>
      <xdr:row>5</xdr:row>
      <xdr:rowOff>47625</xdr:rowOff>
    </xdr:from>
    <xdr:to>
      <xdr:col>22</xdr:col>
      <xdr:colOff>495300</xdr:colOff>
      <xdr:row>26</xdr:row>
      <xdr:rowOff>200025</xdr:rowOff>
    </xdr:to>
    <xdr:pic>
      <xdr:nvPicPr>
        <xdr:cNvPr id="8" name="Picture 7">
          <a:extLst>
            <a:ext uri="{FF2B5EF4-FFF2-40B4-BE49-F238E27FC236}">
              <a16:creationId xmlns:a16="http://schemas.microsoft.com/office/drawing/2014/main" id="{B8B083B1-17DB-52BE-2B5B-EBA7ED698372}"/>
            </a:ext>
            <a:ext uri="{147F2762-F138-4A5C-976F-8EAC2B608ADB}">
              <a16:predDERef xmlns:a16="http://schemas.microsoft.com/office/drawing/2014/main" pred="{0671E9FB-F7E0-42F7-B038-FD82614F42A4}"/>
            </a:ext>
          </a:extLst>
        </xdr:cNvPr>
        <xdr:cNvPicPr>
          <a:picLocks noChangeAspect="1"/>
        </xdr:cNvPicPr>
      </xdr:nvPicPr>
      <xdr:blipFill>
        <a:blip xmlns:r="http://schemas.openxmlformats.org/officeDocument/2006/relationships" r:embed="rId3"/>
        <a:srcRect t="15971" b="15324"/>
        <a:stretch>
          <a:fillRect/>
        </a:stretch>
      </xdr:blipFill>
      <xdr:spPr>
        <a:xfrm>
          <a:off x="3267075" y="1095375"/>
          <a:ext cx="11477625" cy="45529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21</xdr:col>
      <xdr:colOff>143934</xdr:colOff>
      <xdr:row>0</xdr:row>
      <xdr:rowOff>155574</xdr:rowOff>
    </xdr:from>
    <xdr:to>
      <xdr:col>22</xdr:col>
      <xdr:colOff>474132</xdr:colOff>
      <xdr:row>4</xdr:row>
      <xdr:rowOff>143536</xdr:rowOff>
    </xdr:to>
    <xdr:pic>
      <xdr:nvPicPr>
        <xdr:cNvPr id="2" name="Picture 1">
          <a:extLst>
            <a:ext uri="{FF2B5EF4-FFF2-40B4-BE49-F238E27FC236}">
              <a16:creationId xmlns:a16="http://schemas.microsoft.com/office/drawing/2014/main" id="{52966F8F-C6E4-4F65-814D-6DBC7B28B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65674" y="155574"/>
          <a:ext cx="993138" cy="8414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248512</xdr:colOff>
      <xdr:row>30</xdr:row>
      <xdr:rowOff>88476</xdr:rowOff>
    </xdr:to>
    <xdr:pic>
      <xdr:nvPicPr>
        <xdr:cNvPr id="3" name="Picture 2">
          <a:extLst>
            <a:ext uri="{FF2B5EF4-FFF2-40B4-BE49-F238E27FC236}">
              <a16:creationId xmlns:a16="http://schemas.microsoft.com/office/drawing/2014/main" id="{07EC2DE3-520A-43AD-B51A-8A2F9BD09B97}"/>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52" cy="6489276"/>
        </a:xfrm>
        <a:prstGeom prst="rect">
          <a:avLst/>
        </a:prstGeom>
      </xdr:spPr>
    </xdr:pic>
    <xdr:clientData/>
  </xdr:twoCellAnchor>
  <xdr:oneCellAnchor>
    <xdr:from>
      <xdr:col>1</xdr:col>
      <xdr:colOff>287867</xdr:colOff>
      <xdr:row>0</xdr:row>
      <xdr:rowOff>160867</xdr:rowOff>
    </xdr:from>
    <xdr:ext cx="13292666" cy="812799"/>
    <xdr:sp macro="" textlink="">
      <xdr:nvSpPr>
        <xdr:cNvPr id="4" name="TextBox 3">
          <a:extLst>
            <a:ext uri="{FF2B5EF4-FFF2-40B4-BE49-F238E27FC236}">
              <a16:creationId xmlns:a16="http://schemas.microsoft.com/office/drawing/2014/main" id="{4D71FD15-3FCC-4ADC-97C4-EA5D6021E075}"/>
            </a:ext>
          </a:extLst>
        </xdr:cNvPr>
        <xdr:cNvSpPr txBox="1"/>
      </xdr:nvSpPr>
      <xdr:spPr>
        <a:xfrm>
          <a:off x="950807" y="160867"/>
          <a:ext cx="13292666"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Costing Map</a:t>
          </a:r>
        </a:p>
      </xdr:txBody>
    </xdr:sp>
    <xdr:clientData/>
  </xdr:oneCellAnchor>
  <xdr:twoCellAnchor>
    <xdr:from>
      <xdr:col>2</xdr:col>
      <xdr:colOff>53340</xdr:colOff>
      <xdr:row>5</xdr:row>
      <xdr:rowOff>20955</xdr:rowOff>
    </xdr:from>
    <xdr:to>
      <xdr:col>4</xdr:col>
      <xdr:colOff>434340</xdr:colOff>
      <xdr:row>30</xdr:row>
      <xdr:rowOff>82826</xdr:rowOff>
    </xdr:to>
    <xdr:sp macro="" textlink="">
      <xdr:nvSpPr>
        <xdr:cNvPr id="5" name="Rectangle: Rounded Corners 4">
          <a:extLst>
            <a:ext uri="{FF2B5EF4-FFF2-40B4-BE49-F238E27FC236}">
              <a16:creationId xmlns:a16="http://schemas.microsoft.com/office/drawing/2014/main" id="{A41BFFEC-84A9-438D-AB77-2E440C74906B}"/>
            </a:ext>
            <a:ext uri="{147F2762-F138-4A5C-976F-8EAC2B608ADB}">
              <a16:predDERef xmlns:a16="http://schemas.microsoft.com/office/drawing/2014/main" pred="{44AA0052-912B-4574-B58F-FCF5700A40F8}"/>
            </a:ext>
          </a:extLst>
        </xdr:cNvPr>
        <xdr:cNvSpPr/>
      </xdr:nvSpPr>
      <xdr:spPr>
        <a:xfrm>
          <a:off x="1395123" y="1056281"/>
          <a:ext cx="1722782" cy="5238502"/>
        </a:xfrm>
        <a:prstGeom prst="roundRect">
          <a:avLst>
            <a:gd name="adj" fmla="val 6085"/>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latin typeface="Segoe UI" panose="020B0502040204020203" pitchFamily="34" charset="0"/>
              <a:cs typeface="Segoe UI" panose="020B0502040204020203" pitchFamily="34" charset="0"/>
            </a:rPr>
            <a:t>This tab</a:t>
          </a:r>
          <a:r>
            <a:rPr lang="en-GB" sz="1200" b="1" baseline="0">
              <a:latin typeface="Segoe UI" panose="020B0502040204020203" pitchFamily="34" charset="0"/>
              <a:cs typeface="Segoe UI" panose="020B0502040204020203" pitchFamily="34" charset="0"/>
            </a:rPr>
            <a:t> info / directions:</a:t>
          </a:r>
        </a:p>
        <a:p>
          <a:pPr algn="l"/>
          <a:endParaRPr lang="en-GB" sz="1200" b="1"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This conceptual diagram underpins our understanding of how costs are accrued within KRT patient pathways.</a:t>
          </a:r>
        </a:p>
        <a:p>
          <a:pPr algn="l"/>
          <a:endParaRPr lang="en-GB" sz="1200" b="0"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The cost of conservative care is not included within the model. The cost for all other activity is calculated using an average annual activity rate.</a:t>
          </a:r>
        </a:p>
        <a:p>
          <a:pPr algn="l"/>
          <a:endParaRPr lang="en-GB" sz="1200" b="0" baseline="0">
            <a:latin typeface="Segoe UI" panose="020B0502040204020203" pitchFamily="34" charset="0"/>
            <a:cs typeface="Segoe UI" panose="020B0502040204020203" pitchFamily="34" charset="0"/>
          </a:endParaRPr>
        </a:p>
        <a:p>
          <a:pPr algn="l"/>
          <a:r>
            <a:rPr lang="en-GB" sz="1200" b="0" baseline="0">
              <a:latin typeface="Segoe UI" panose="020B0502040204020203" pitchFamily="34" charset="0"/>
              <a:cs typeface="Segoe UI" panose="020B0502040204020203" pitchFamily="34" charset="0"/>
            </a:rPr>
            <a:t>All costings are in 2021/22 currency, and include GP and inpatient costs. They can be overwritten in the Cost Inputs tab.</a:t>
          </a:r>
        </a:p>
      </xdr:txBody>
    </xdr:sp>
    <xdr:clientData/>
  </xdr:twoCellAnchor>
  <xdr:twoCellAnchor>
    <xdr:from>
      <xdr:col>4</xdr:col>
      <xdr:colOff>626533</xdr:colOff>
      <xdr:row>5</xdr:row>
      <xdr:rowOff>2114</xdr:rowOff>
    </xdr:from>
    <xdr:to>
      <xdr:col>22</xdr:col>
      <xdr:colOff>304800</xdr:colOff>
      <xdr:row>30</xdr:row>
      <xdr:rowOff>38100</xdr:rowOff>
    </xdr:to>
    <xdr:graphicFrame macro="">
      <xdr:nvGraphicFramePr>
        <xdr:cNvPr id="7" name="Diagram 6">
          <a:extLst>
            <a:ext uri="{FF2B5EF4-FFF2-40B4-BE49-F238E27FC236}">
              <a16:creationId xmlns:a16="http://schemas.microsoft.com/office/drawing/2014/main" id="{C3CD3E80-9C18-C14F-58DD-8A9A1ED87917}"/>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3" r:lo="rId4" r:qs="rId5" r:cs="rId6"/>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143934</xdr:colOff>
      <xdr:row>0</xdr:row>
      <xdr:rowOff>155574</xdr:rowOff>
    </xdr:from>
    <xdr:to>
      <xdr:col>22</xdr:col>
      <xdr:colOff>474132</xdr:colOff>
      <xdr:row>4</xdr:row>
      <xdr:rowOff>143536</xdr:rowOff>
    </xdr:to>
    <xdr:pic>
      <xdr:nvPicPr>
        <xdr:cNvPr id="2" name="Picture 1">
          <a:extLst>
            <a:ext uri="{FF2B5EF4-FFF2-40B4-BE49-F238E27FC236}">
              <a16:creationId xmlns:a16="http://schemas.microsoft.com/office/drawing/2014/main" id="{585851AF-D31F-41A1-82DE-19BEBE68178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3779" y="155574"/>
          <a:ext cx="1002663" cy="828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244702</xdr:colOff>
      <xdr:row>27</xdr:row>
      <xdr:rowOff>63500</xdr:rowOff>
    </xdr:to>
    <xdr:pic>
      <xdr:nvPicPr>
        <xdr:cNvPr id="3" name="Picture 2">
          <a:extLst>
            <a:ext uri="{FF2B5EF4-FFF2-40B4-BE49-F238E27FC236}">
              <a16:creationId xmlns:a16="http://schemas.microsoft.com/office/drawing/2014/main" id="{4B7C6127-9D9D-4BE4-A57E-8A3C3DC50D88}"/>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52" cy="5778500"/>
        </a:xfrm>
        <a:prstGeom prst="rect">
          <a:avLst/>
        </a:prstGeom>
      </xdr:spPr>
    </xdr:pic>
    <xdr:clientData/>
  </xdr:twoCellAnchor>
  <xdr:oneCellAnchor>
    <xdr:from>
      <xdr:col>1</xdr:col>
      <xdr:colOff>296333</xdr:colOff>
      <xdr:row>0</xdr:row>
      <xdr:rowOff>160867</xdr:rowOff>
    </xdr:from>
    <xdr:ext cx="13284200" cy="812799"/>
    <xdr:sp macro="" textlink="">
      <xdr:nvSpPr>
        <xdr:cNvPr id="4" name="TextBox 3">
          <a:extLst>
            <a:ext uri="{FF2B5EF4-FFF2-40B4-BE49-F238E27FC236}">
              <a16:creationId xmlns:a16="http://schemas.microsoft.com/office/drawing/2014/main" id="{7F49AB57-D139-4165-8144-EA1C18B36008}"/>
            </a:ext>
          </a:extLst>
        </xdr:cNvPr>
        <xdr:cNvSpPr txBox="1"/>
      </xdr:nvSpPr>
      <xdr:spPr>
        <a:xfrm>
          <a:off x="961178" y="162772"/>
          <a:ext cx="13284200"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Methods Overview</a:t>
          </a:r>
        </a:p>
      </xdr:txBody>
    </xdr:sp>
    <xdr:clientData/>
  </xdr:oneCellAnchor>
  <xdr:twoCellAnchor>
    <xdr:from>
      <xdr:col>10</xdr:col>
      <xdr:colOff>8468</xdr:colOff>
      <xdr:row>9</xdr:row>
      <xdr:rowOff>35377</xdr:rowOff>
    </xdr:from>
    <xdr:to>
      <xdr:col>17</xdr:col>
      <xdr:colOff>491068</xdr:colOff>
      <xdr:row>26</xdr:row>
      <xdr:rowOff>76200</xdr:rowOff>
    </xdr:to>
    <xdr:sp macro="" textlink="">
      <xdr:nvSpPr>
        <xdr:cNvPr id="5" name="Rectangle: Rounded Corners 4">
          <a:extLst>
            <a:ext uri="{FF2B5EF4-FFF2-40B4-BE49-F238E27FC236}">
              <a16:creationId xmlns:a16="http://schemas.microsoft.com/office/drawing/2014/main" id="{33F4CE63-F464-44F2-A339-99D3D0EA2909}"/>
            </a:ext>
          </a:extLst>
        </xdr:cNvPr>
        <xdr:cNvSpPr/>
      </xdr:nvSpPr>
      <xdr:spPr>
        <a:xfrm>
          <a:off x="6677873" y="1921327"/>
          <a:ext cx="5146040" cy="3603173"/>
        </a:xfrm>
        <a:prstGeom prst="roundRect">
          <a:avLst>
            <a:gd name="adj" fmla="val 181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Data:</a:t>
          </a:r>
        </a:p>
        <a:p>
          <a:pPr algn="l"/>
          <a:endParaRPr lang="en-GB" sz="1200" b="1">
            <a:solidFill>
              <a:schemeClr val="tx1"/>
            </a:solidFill>
            <a:latin typeface="Segoe UI" panose="020B0502040204020203" pitchFamily="34" charset="0"/>
            <a:cs typeface="Segoe UI" panose="020B0502040204020203" pitchFamily="34" charset="0"/>
          </a:endParaRPr>
        </a:p>
        <a:p>
          <a:pPr algn="l"/>
          <a:r>
            <a:rPr lang="en-GB" sz="1200" b="0">
              <a:solidFill>
                <a:schemeClr val="tx1"/>
              </a:solidFill>
              <a:latin typeface="Segoe UI" panose="020B0502040204020203" pitchFamily="34" charset="0"/>
              <a:cs typeface="Segoe UI" panose="020B0502040204020203" pitchFamily="34" charset="0"/>
            </a:rPr>
            <a:t>The</a:t>
          </a:r>
          <a:r>
            <a:rPr lang="en-GB" sz="1200" b="0" baseline="0">
              <a:solidFill>
                <a:schemeClr val="tx1"/>
              </a:solidFill>
              <a:latin typeface="Segoe UI" panose="020B0502040204020203" pitchFamily="34" charset="0"/>
              <a:cs typeface="Segoe UI" panose="020B0502040204020203" pitchFamily="34" charset="0"/>
            </a:rPr>
            <a:t> main data source was a data extract from the UK Renal Registry (UKRR). This spanned the years 2010-2022 and provided individual (anonymised) patient pathways, and included information on patient attributes (age, ethnicity, referral status). This information was used to build models describing patient routing and time in each part of the system. These models were then used to generate event times and patient routing during the experimental phase.</a:t>
          </a:r>
        </a:p>
        <a:p>
          <a:pPr algn="l"/>
          <a:endParaRPr lang="en-GB" sz="1200" b="0" baseline="0">
            <a:solidFill>
              <a:schemeClr val="tx1"/>
            </a:solidFill>
            <a:latin typeface="Segoe UI" panose="020B0502040204020203" pitchFamily="34" charset="0"/>
            <a:cs typeface="Segoe UI" panose="020B0502040204020203" pitchFamily="34" charset="0"/>
          </a:endParaRPr>
        </a:p>
        <a:p>
          <a:pPr algn="l"/>
          <a:r>
            <a:rPr lang="en-GB" sz="1200" b="0" baseline="0">
              <a:solidFill>
                <a:schemeClr val="tx1"/>
              </a:solidFill>
              <a:latin typeface="Segoe UI" panose="020B0502040204020203" pitchFamily="34" charset="0"/>
              <a:cs typeface="Segoe UI" panose="020B0502040204020203" pitchFamily="34" charset="0"/>
            </a:rPr>
            <a:t>Other useful data sources were:</a:t>
          </a:r>
        </a:p>
        <a:p>
          <a:pPr algn="l"/>
          <a:r>
            <a:rPr lang="en-GB" sz="1200" b="0" baseline="0">
              <a:solidFill>
                <a:schemeClr val="tx1"/>
              </a:solidFill>
              <a:latin typeface="Segoe UI" panose="020B0502040204020203" pitchFamily="34" charset="0"/>
              <a:cs typeface="Segoe UI" panose="020B0502040204020203" pitchFamily="34" charset="0"/>
            </a:rPr>
            <a:t>- </a:t>
          </a:r>
          <a:r>
            <a:rPr lang="en-GB" sz="1200">
              <a:latin typeface="Segoe UI" panose="020B0502040204020203" pitchFamily="34" charset="0"/>
              <a:cs typeface="Segoe UI" panose="020B0502040204020203" pitchFamily="34" charset="0"/>
              <a:hlinkClick xmlns:r="http://schemas.openxmlformats.org/officeDocument/2006/relationships" r:id=""/>
            </a:rPr>
            <a:t>Home - NHS Blood and Transplant</a:t>
          </a:r>
          <a:endParaRPr lang="en-GB" sz="1200">
            <a:latin typeface="Segoe UI" panose="020B0502040204020203" pitchFamily="34" charset="0"/>
            <a:cs typeface="Segoe UI" panose="020B0502040204020203" pitchFamily="34" charset="0"/>
          </a:endParaRPr>
        </a:p>
        <a:p>
          <a:pPr algn="l"/>
          <a:r>
            <a:rPr lang="en-GB" sz="1200" b="0" i="0" u="none" strike="noStrike">
              <a:solidFill>
                <a:schemeClr val="dk1"/>
              </a:solidFill>
              <a:effectLst/>
              <a:latin typeface="Segoe UI" panose="020B0502040204020203" pitchFamily="34" charset="0"/>
              <a:ea typeface="+mn-ea"/>
              <a:cs typeface="Segoe UI" panose="020B0502040204020203" pitchFamily="34" charset="0"/>
            </a:rPr>
            <a:t>- </a:t>
          </a:r>
          <a:r>
            <a:rPr lang="en-GB" sz="1200">
              <a:latin typeface="Segoe UI" panose="020B0502040204020203" pitchFamily="34" charset="0"/>
              <a:cs typeface="Segoe UI" panose="020B0502040204020203" pitchFamily="34" charset="0"/>
              <a:hlinkClick xmlns:r="http://schemas.openxmlformats.org/officeDocument/2006/relationships" r:id=""/>
            </a:rPr>
            <a:t>26th Annual Report - data to 31/12/2022 | UK Kidney Association</a:t>
          </a:r>
          <a:endParaRPr lang="en-GB" sz="1200">
            <a:latin typeface="Segoe UI" panose="020B0502040204020203" pitchFamily="34" charset="0"/>
            <a:cs typeface="Segoe UI" panose="020B0502040204020203" pitchFamily="34" charset="0"/>
          </a:endParaRPr>
        </a:p>
        <a:p>
          <a:pPr algn="l"/>
          <a:endParaRPr lang="en-GB" sz="1200" b="0">
            <a:solidFill>
              <a:schemeClr val="tx1"/>
            </a:solidFill>
            <a:latin typeface="Segoe UI" panose="020B0502040204020203" pitchFamily="34" charset="0"/>
            <a:cs typeface="Segoe UI" panose="020B0502040204020203" pitchFamily="34" charset="0"/>
          </a:endParaRPr>
        </a:p>
        <a:p>
          <a:r>
            <a:rPr lang="en-GB" sz="1200">
              <a:solidFill>
                <a:schemeClr val="tx1"/>
              </a:solidFill>
              <a:effectLst/>
              <a:latin typeface="Segoe UI" panose="020B0502040204020203" pitchFamily="34" charset="0"/>
              <a:ea typeface="+mn-ea"/>
              <a:cs typeface="Segoe UI" panose="020B0502040204020203" pitchFamily="34" charset="0"/>
            </a:rPr>
            <a:t> </a:t>
          </a:r>
          <a:endParaRPr lang="en-GB" sz="1200" b="1">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42333</xdr:colOff>
      <xdr:row>9</xdr:row>
      <xdr:rowOff>24918</xdr:rowOff>
    </xdr:from>
    <xdr:to>
      <xdr:col>9</xdr:col>
      <xdr:colOff>499533</xdr:colOff>
      <xdr:row>26</xdr:row>
      <xdr:rowOff>77461</xdr:rowOff>
    </xdr:to>
    <xdr:sp macro="" textlink="">
      <xdr:nvSpPr>
        <xdr:cNvPr id="6" name="Rectangle: Rounded Corners 19">
          <a:extLst>
            <a:ext uri="{FF2B5EF4-FFF2-40B4-BE49-F238E27FC236}">
              <a16:creationId xmlns:a16="http://schemas.microsoft.com/office/drawing/2014/main" id="{E1445C1C-46D1-4B39-8002-631A5BF03ED1}"/>
            </a:ext>
          </a:extLst>
        </xdr:cNvPr>
        <xdr:cNvSpPr/>
      </xdr:nvSpPr>
      <xdr:spPr>
        <a:xfrm>
          <a:off x="1377738" y="1907058"/>
          <a:ext cx="5124450" cy="3618703"/>
        </a:xfrm>
        <a:prstGeom prst="roundRect">
          <a:avLst>
            <a:gd name="adj" fmla="val 2344"/>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Model Characteristics:</a:t>
          </a:r>
        </a:p>
        <a:p>
          <a:pPr algn="l"/>
          <a:endParaRPr lang="en-GB" sz="1200" b="1">
            <a:solidFill>
              <a:schemeClr val="tx1"/>
            </a:solidFill>
            <a:latin typeface="Segoe UI" panose="020B0502040204020203" pitchFamily="34" charset="0"/>
            <a:cs typeface="Segoe UI" panose="020B0502040204020203" pitchFamily="34" charset="0"/>
          </a:endParaRPr>
        </a:p>
        <a:p>
          <a:pPr algn="l"/>
          <a:r>
            <a:rPr lang="en-GB" sz="1200" b="0">
              <a:solidFill>
                <a:schemeClr val="tx1"/>
              </a:solidFill>
              <a:latin typeface="Segoe UI" panose="020B0502040204020203" pitchFamily="34" charset="0"/>
              <a:cs typeface="Segoe UI" panose="020B0502040204020203" pitchFamily="34" charset="0"/>
            </a:rPr>
            <a:t>This model interface is an interactive</a:t>
          </a:r>
          <a:r>
            <a:rPr lang="en-GB" sz="1200" b="0" baseline="0">
              <a:solidFill>
                <a:schemeClr val="tx1"/>
              </a:solidFill>
              <a:latin typeface="Segoe UI" panose="020B0502040204020203" pitchFamily="34" charset="0"/>
              <a:cs typeface="Segoe UI" panose="020B0502040204020203" pitchFamily="34" charset="0"/>
            </a:rPr>
            <a:t> scenario builder for the discrete event simulation (DES) model representing kidney replacement therapy (KRT) patient pathways.</a:t>
          </a:r>
        </a:p>
        <a:p>
          <a:pPr algn="l"/>
          <a:endParaRPr lang="en-GB" sz="1200" b="0" baseline="0">
            <a:solidFill>
              <a:schemeClr val="tx1"/>
            </a:solidFill>
            <a:latin typeface="Segoe UI" panose="020B0502040204020203" pitchFamily="34" charset="0"/>
            <a:cs typeface="Segoe UI" panose="020B0502040204020203" pitchFamily="34" charset="0"/>
          </a:endParaRPr>
        </a:p>
        <a:p>
          <a:pPr algn="l"/>
          <a:r>
            <a:rPr lang="en-GB" sz="1200" b="0" baseline="0">
              <a:solidFill>
                <a:schemeClr val="tx1"/>
              </a:solidFill>
              <a:latin typeface="Segoe UI" panose="020B0502040204020203" pitchFamily="34" charset="0"/>
              <a:cs typeface="Segoe UI" panose="020B0502040204020203" pitchFamily="34" charset="0"/>
            </a:rPr>
            <a:t>The DES model generates individual patient level pathways allowing the user to understand the capacity requirements across activities in the system. </a:t>
          </a:r>
        </a:p>
        <a:p>
          <a:pPr algn="l"/>
          <a:endParaRPr lang="en-GB" sz="1200" b="0" baseline="0">
            <a:solidFill>
              <a:schemeClr val="tx1"/>
            </a:solidFill>
            <a:latin typeface="Segoe UI" panose="020B0502040204020203" pitchFamily="34" charset="0"/>
            <a:cs typeface="Segoe UI" panose="020B0502040204020203" pitchFamily="34" charset="0"/>
          </a:endParaRPr>
        </a:p>
        <a:p>
          <a:pPr algn="l"/>
          <a:r>
            <a:rPr lang="en-GB" sz="1200" b="0" baseline="0">
              <a:solidFill>
                <a:schemeClr val="tx1"/>
              </a:solidFill>
              <a:latin typeface="Segoe UI" panose="020B0502040204020203" pitchFamily="34" charset="0"/>
              <a:cs typeface="Segoe UI" panose="020B0502040204020203" pitchFamily="34" charset="0"/>
            </a:rPr>
            <a:t>The model has been validated/calibrated against historic UKRR data, to ensure there is a good match across observable data, before it is used here to extrapolate into the future.   </a:t>
          </a:r>
        </a:p>
        <a:p>
          <a:pPr algn="l"/>
          <a:endParaRPr lang="en-GB" sz="1200" b="0" baseline="0">
            <a:solidFill>
              <a:schemeClr val="tx1"/>
            </a:solidFill>
            <a:latin typeface="Segoe UI" panose="020B0502040204020203" pitchFamily="34" charset="0"/>
            <a:cs typeface="Segoe UI" panose="020B0502040204020203" pitchFamily="34" charset="0"/>
          </a:endParaRPr>
        </a:p>
        <a:p>
          <a:pPr algn="l"/>
          <a:r>
            <a:rPr lang="en-GB" sz="1200" b="0" baseline="0">
              <a:solidFill>
                <a:schemeClr val="tx1"/>
              </a:solidFill>
              <a:latin typeface="Segoe UI" panose="020B0502040204020203" pitchFamily="34" charset="0"/>
              <a:cs typeface="Segoe UI" panose="020B0502040204020203" pitchFamily="34" charset="0"/>
            </a:rPr>
            <a:t>DES is an effective strategic tool for "what-if" scenario experimentation and system understanding.</a:t>
          </a:r>
          <a:endParaRPr lang="en-GB" sz="120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59267</xdr:colOff>
      <xdr:row>5</xdr:row>
      <xdr:rowOff>25400</xdr:rowOff>
    </xdr:from>
    <xdr:to>
      <xdr:col>22</xdr:col>
      <xdr:colOff>524932</xdr:colOff>
      <xdr:row>8</xdr:row>
      <xdr:rowOff>84667</xdr:rowOff>
    </xdr:to>
    <xdr:sp macro="" textlink="">
      <xdr:nvSpPr>
        <xdr:cNvPr id="7" name="Rectangle: Rounded Corners 6">
          <a:extLst>
            <a:ext uri="{FF2B5EF4-FFF2-40B4-BE49-F238E27FC236}">
              <a16:creationId xmlns:a16="http://schemas.microsoft.com/office/drawing/2014/main" id="{FAE08388-CE48-4BD9-A360-C18E15C64C36}"/>
            </a:ext>
          </a:extLst>
        </xdr:cNvPr>
        <xdr:cNvSpPr/>
      </xdr:nvSpPr>
      <xdr:spPr>
        <a:xfrm>
          <a:off x="1388957" y="1069340"/>
          <a:ext cx="13802570" cy="693632"/>
        </a:xfrm>
        <a:prstGeom prst="roundRect">
          <a:avLst>
            <a:gd name="adj" fmla="val 4472"/>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latin typeface="Segoe UI" panose="020B0502040204020203" pitchFamily="34" charset="0"/>
              <a:cs typeface="Segoe UI" panose="020B0502040204020203" pitchFamily="34" charset="0"/>
            </a:rPr>
            <a:t>This tab</a:t>
          </a:r>
          <a:r>
            <a:rPr lang="en-GB" sz="1200" b="1" baseline="0">
              <a:latin typeface="Segoe UI" panose="020B0502040204020203" pitchFamily="34" charset="0"/>
              <a:cs typeface="Segoe UI" panose="020B0502040204020203" pitchFamily="34" charset="0"/>
            </a:rPr>
            <a:t> info / directions:</a:t>
          </a:r>
        </a:p>
        <a:p>
          <a:pPr algn="l"/>
          <a:r>
            <a:rPr lang="en-GB" sz="1200" b="0" baseline="0">
              <a:latin typeface="Segoe UI" panose="020B0502040204020203" pitchFamily="34" charset="0"/>
              <a:cs typeface="Segoe UI" panose="020B0502040204020203" pitchFamily="34" charset="0"/>
            </a:rPr>
            <a:t>Here an overview of the methods used to build the tool are outlined. </a:t>
          </a:r>
          <a:endParaRPr lang="en-GB" sz="1200" b="0">
            <a:latin typeface="Segoe UI" panose="020B0502040204020203" pitchFamily="34" charset="0"/>
            <a:cs typeface="Segoe UI" panose="020B0502040204020203" pitchFamily="34" charset="0"/>
          </a:endParaRPr>
        </a:p>
      </xdr:txBody>
    </xdr:sp>
    <xdr:clientData/>
  </xdr:twoCellAnchor>
  <xdr:twoCellAnchor>
    <xdr:from>
      <xdr:col>18</xdr:col>
      <xdr:colOff>0</xdr:colOff>
      <xdr:row>9</xdr:row>
      <xdr:rowOff>25400</xdr:rowOff>
    </xdr:from>
    <xdr:to>
      <xdr:col>22</xdr:col>
      <xdr:colOff>491068</xdr:colOff>
      <xdr:row>26</xdr:row>
      <xdr:rowOff>84667</xdr:rowOff>
    </xdr:to>
    <xdr:sp macro="" textlink="">
      <xdr:nvSpPr>
        <xdr:cNvPr id="8" name="Rectangle: Rounded Corners 21">
          <a:extLst>
            <a:ext uri="{FF2B5EF4-FFF2-40B4-BE49-F238E27FC236}">
              <a16:creationId xmlns:a16="http://schemas.microsoft.com/office/drawing/2014/main" id="{47012C1A-5B05-4798-818B-703358AE2335}"/>
            </a:ext>
          </a:extLst>
        </xdr:cNvPr>
        <xdr:cNvSpPr/>
      </xdr:nvSpPr>
      <xdr:spPr>
        <a:xfrm>
          <a:off x="12001500" y="1907540"/>
          <a:ext cx="3156163" cy="3627332"/>
        </a:xfrm>
        <a:prstGeom prst="roundRect">
          <a:avLst>
            <a:gd name="adj" fmla="val 2049"/>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Assumptions (A) and Limitations (L):</a:t>
          </a:r>
        </a:p>
        <a:p>
          <a:pPr algn="l"/>
          <a:endParaRPr lang="en-GB" sz="1200" b="1" i="1">
            <a:solidFill>
              <a:schemeClr val="tx1"/>
            </a:solidFill>
            <a:effectLst/>
            <a:latin typeface="Segoe UI" panose="020B0502040204020203" pitchFamily="34" charset="0"/>
            <a:ea typeface="+mn-ea"/>
            <a:cs typeface="Segoe UI" panose="020B0502040204020203" pitchFamily="34" charset="0"/>
          </a:endParaRPr>
        </a:p>
        <a:p>
          <a:pPr algn="l"/>
          <a:r>
            <a:rPr lang="en-GB" sz="1200" b="0" i="0">
              <a:solidFill>
                <a:schemeClr val="tx1"/>
              </a:solidFill>
              <a:effectLst/>
              <a:latin typeface="Segoe UI" panose="020B0502040204020203" pitchFamily="34" charset="0"/>
              <a:ea typeface="+mn-ea"/>
              <a:cs typeface="Segoe UI" panose="020B0502040204020203" pitchFamily="34" charset="0"/>
            </a:rPr>
            <a:t>(A)</a:t>
          </a:r>
          <a:r>
            <a:rPr lang="en-GB" sz="1200" b="0" i="0" baseline="0">
              <a:solidFill>
                <a:schemeClr val="tx1"/>
              </a:solidFill>
              <a:effectLst/>
              <a:latin typeface="Segoe UI" panose="020B0502040204020203" pitchFamily="34" charset="0"/>
              <a:ea typeface="+mn-ea"/>
              <a:cs typeface="Segoe UI" panose="020B0502040204020203" pitchFamily="34" charset="0"/>
            </a:rPr>
            <a:t> </a:t>
          </a:r>
          <a:r>
            <a:rPr lang="en-GB" sz="1200" b="0" i="0">
              <a:solidFill>
                <a:schemeClr val="tx1"/>
              </a:solidFill>
              <a:effectLst/>
              <a:latin typeface="Segoe UI" panose="020B0502040204020203" pitchFamily="34" charset="0"/>
              <a:ea typeface="+mn-ea"/>
              <a:cs typeface="Segoe UI" panose="020B0502040204020203" pitchFamily="34" charset="0"/>
            </a:rPr>
            <a:t>We assume the behaviour observed</a:t>
          </a:r>
          <a:r>
            <a:rPr lang="en-GB" sz="1200" b="0" i="0" baseline="0">
              <a:solidFill>
                <a:schemeClr val="tx1"/>
              </a:solidFill>
              <a:effectLst/>
              <a:latin typeface="Segoe UI" panose="020B0502040204020203" pitchFamily="34" charset="0"/>
              <a:ea typeface="+mn-ea"/>
              <a:cs typeface="Segoe UI" panose="020B0502040204020203" pitchFamily="34" charset="0"/>
            </a:rPr>
            <a:t> within the limits of the UKRR extract will be similar to future behaviour.</a:t>
          </a:r>
          <a:endParaRPr lang="en-GB" sz="1200" b="0" i="0">
            <a:solidFill>
              <a:schemeClr val="tx1"/>
            </a:solidFill>
            <a:effectLst/>
            <a:latin typeface="Segoe UI" panose="020B0502040204020203" pitchFamily="34" charset="0"/>
            <a:ea typeface="+mn-ea"/>
            <a:cs typeface="Segoe UI" panose="020B0502040204020203" pitchFamily="34" charset="0"/>
          </a:endParaRPr>
        </a:p>
        <a:p>
          <a:pPr algn="l"/>
          <a:endParaRPr lang="en-GB" sz="1200" b="0" i="0">
            <a:solidFill>
              <a:schemeClr val="tx1"/>
            </a:solidFill>
            <a:effectLst/>
            <a:latin typeface="Segoe UI" panose="020B0502040204020203" pitchFamily="34" charset="0"/>
            <a:ea typeface="+mn-ea"/>
            <a:cs typeface="Segoe UI" panose="020B0502040204020203" pitchFamily="34" charset="0"/>
          </a:endParaRPr>
        </a:p>
        <a:p>
          <a:pPr algn="l"/>
          <a:r>
            <a:rPr lang="en-GB" sz="1200" b="0" i="0">
              <a:solidFill>
                <a:schemeClr val="tx1"/>
              </a:solidFill>
              <a:effectLst/>
              <a:latin typeface="Segoe UI" panose="020B0502040204020203" pitchFamily="34" charset="0"/>
              <a:ea typeface="+mn-ea"/>
              <a:cs typeface="Segoe UI" panose="020B0502040204020203" pitchFamily="34" charset="0"/>
            </a:rPr>
            <a:t>(A) We assume little geographical</a:t>
          </a:r>
          <a:r>
            <a:rPr lang="en-GB" sz="1200" b="0" i="0" baseline="0">
              <a:solidFill>
                <a:schemeClr val="tx1"/>
              </a:solidFill>
              <a:effectLst/>
              <a:latin typeface="Segoe UI" panose="020B0502040204020203" pitchFamily="34" charset="0"/>
              <a:ea typeface="+mn-ea"/>
              <a:cs typeface="Segoe UI" panose="020B0502040204020203" pitchFamily="34" charset="0"/>
            </a:rPr>
            <a:t> impact of the activity times, allowing us to use the whole data extract (national data) to estimate activity times.</a:t>
          </a:r>
          <a:endParaRPr lang="en-GB" sz="1200" b="0" i="0">
            <a:solidFill>
              <a:schemeClr val="tx1"/>
            </a:solidFill>
            <a:effectLst/>
            <a:latin typeface="Segoe UI" panose="020B0502040204020203" pitchFamily="34" charset="0"/>
            <a:ea typeface="+mn-ea"/>
            <a:cs typeface="Segoe UI" panose="020B0502040204020203" pitchFamily="34" charset="0"/>
          </a:endParaRPr>
        </a:p>
        <a:p>
          <a:pPr algn="l"/>
          <a:endParaRPr lang="en-GB" sz="1200" b="0" i="0">
            <a:solidFill>
              <a:schemeClr val="tx1"/>
            </a:solidFill>
            <a:effectLst/>
            <a:latin typeface="Segoe UI" panose="020B0502040204020203" pitchFamily="34" charset="0"/>
            <a:ea typeface="+mn-ea"/>
            <a:cs typeface="Segoe UI" panose="020B0502040204020203" pitchFamily="34" charset="0"/>
          </a:endParaRPr>
        </a:p>
        <a:p>
          <a:pPr algn="l"/>
          <a:r>
            <a:rPr lang="en-GB" sz="1200" b="0" i="0">
              <a:solidFill>
                <a:schemeClr val="tx1"/>
              </a:solidFill>
              <a:effectLst/>
              <a:latin typeface="Segoe UI" panose="020B0502040204020203" pitchFamily="34" charset="0"/>
              <a:ea typeface="+mn-ea"/>
              <a:cs typeface="Segoe UI" panose="020B0502040204020203" pitchFamily="34" charset="0"/>
            </a:rPr>
            <a:t>(L) The</a:t>
          </a:r>
          <a:r>
            <a:rPr lang="en-GB" sz="1200" b="0" i="0" baseline="0">
              <a:solidFill>
                <a:schemeClr val="tx1"/>
              </a:solidFill>
              <a:effectLst/>
              <a:latin typeface="Segoe UI" panose="020B0502040204020203" pitchFamily="34" charset="0"/>
              <a:ea typeface="+mn-ea"/>
              <a:cs typeface="Segoe UI" panose="020B0502040204020203" pitchFamily="34" charset="0"/>
            </a:rPr>
            <a:t> data extract is 13 years long, which is short compared to the average life of a graft. Censoring of the observations was taken into account in the analysis to account for this.</a:t>
          </a:r>
          <a:endParaRPr lang="en-GB" sz="1200" b="0" i="0">
            <a:solidFill>
              <a:schemeClr val="tx1"/>
            </a:solidFill>
            <a:effectLst/>
            <a:latin typeface="Segoe UI" panose="020B0502040204020203" pitchFamily="34" charset="0"/>
            <a:ea typeface="+mn-ea"/>
            <a:cs typeface="Segoe UI" panose="020B0502040204020203"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endParaRPr kumimoji="0" lang="en-GB" sz="1200" b="0" i="1"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endParaRPr>
        </a:p>
        <a:p>
          <a:pPr algn="l"/>
          <a:r>
            <a:rPr lang="en-GB" sz="1200" b="0" i="1" baseline="0">
              <a:solidFill>
                <a:schemeClr val="tx1"/>
              </a:solidFill>
              <a:effectLst/>
              <a:latin typeface="Segoe UI" panose="020B0502040204020203" pitchFamily="34" charset="0"/>
              <a:ea typeface="+mn-ea"/>
              <a:cs typeface="Segoe UI" panose="020B0502040204020203" pitchFamily="34" charset="0"/>
            </a:rPr>
            <a:t> </a:t>
          </a:r>
        </a:p>
        <a:p>
          <a:pPr algn="l"/>
          <a:endParaRPr lang="en-GB" sz="1200" b="0" i="1" baseline="0">
            <a:solidFill>
              <a:schemeClr val="tx1"/>
            </a:solidFill>
            <a:effectLst/>
            <a:latin typeface="Segoe UI" panose="020B0502040204020203" pitchFamily="34" charset="0"/>
            <a:ea typeface="+mn-ea"/>
            <a:cs typeface="Segoe UI" panose="020B0502040204020203" pitchFamily="34" charset="0"/>
          </a:endParaRPr>
        </a:p>
        <a:p>
          <a:pPr algn="l"/>
          <a:endParaRPr lang="en-GB" sz="1200" b="0" i="1">
            <a:solidFill>
              <a:schemeClr val="tx1"/>
            </a:solidFill>
            <a:effectLst/>
            <a:latin typeface="Segoe UI" panose="020B0502040204020203" pitchFamily="34" charset="0"/>
            <a:ea typeface="+mn-ea"/>
            <a:cs typeface="Segoe UI" panose="020B0502040204020203" pitchFamily="34" charset="0"/>
          </a:endParaRPr>
        </a:p>
        <a:p>
          <a:pPr algn="l"/>
          <a:endParaRPr lang="en-GB" sz="1200" b="0" i="1">
            <a:solidFill>
              <a:schemeClr val="tx1"/>
            </a:solidFill>
            <a:effectLst/>
            <a:latin typeface="Segoe UI" panose="020B0502040204020203" pitchFamily="34" charset="0"/>
            <a:ea typeface="+mn-ea"/>
            <a:cs typeface="Segoe UI" panose="020B0502040204020203"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420159</xdr:colOff>
      <xdr:row>0</xdr:row>
      <xdr:rowOff>146049</xdr:rowOff>
    </xdr:from>
    <xdr:to>
      <xdr:col>23</xdr:col>
      <xdr:colOff>668750</xdr:colOff>
      <xdr:row>5</xdr:row>
      <xdr:rowOff>16536</xdr:rowOff>
    </xdr:to>
    <xdr:pic>
      <xdr:nvPicPr>
        <xdr:cNvPr id="2" name="Picture 1">
          <a:extLst>
            <a:ext uri="{FF2B5EF4-FFF2-40B4-BE49-F238E27FC236}">
              <a16:creationId xmlns:a16="http://schemas.microsoft.com/office/drawing/2014/main" id="{5DB4768A-7AD4-4326-8AF6-16B2DB553A0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107834" y="146049"/>
          <a:ext cx="949633" cy="813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212281</xdr:colOff>
      <xdr:row>45</xdr:row>
      <xdr:rowOff>22027</xdr:rowOff>
    </xdr:to>
    <xdr:pic>
      <xdr:nvPicPr>
        <xdr:cNvPr id="3" name="Picture 2">
          <a:extLst>
            <a:ext uri="{FF2B5EF4-FFF2-40B4-BE49-F238E27FC236}">
              <a16:creationId xmlns:a16="http://schemas.microsoft.com/office/drawing/2014/main" id="{04BDC209-9DBA-46E4-918D-7B254DA09567}"/>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16" cy="6325048"/>
        </a:xfrm>
        <a:prstGeom prst="rect">
          <a:avLst/>
        </a:prstGeom>
      </xdr:spPr>
    </xdr:pic>
    <xdr:clientData/>
  </xdr:twoCellAnchor>
  <xdr:oneCellAnchor>
    <xdr:from>
      <xdr:col>1</xdr:col>
      <xdr:colOff>287867</xdr:colOff>
      <xdr:row>0</xdr:row>
      <xdr:rowOff>160867</xdr:rowOff>
    </xdr:from>
    <xdr:ext cx="13292666" cy="812799"/>
    <xdr:sp macro="" textlink="">
      <xdr:nvSpPr>
        <xdr:cNvPr id="4" name="TextBox 3">
          <a:extLst>
            <a:ext uri="{FF2B5EF4-FFF2-40B4-BE49-F238E27FC236}">
              <a16:creationId xmlns:a16="http://schemas.microsoft.com/office/drawing/2014/main" id="{738E8733-8466-4021-86CA-A5BDAD56B56A}"/>
            </a:ext>
          </a:extLst>
        </xdr:cNvPr>
        <xdr:cNvSpPr txBox="1"/>
      </xdr:nvSpPr>
      <xdr:spPr>
        <a:xfrm>
          <a:off x="979382" y="162772"/>
          <a:ext cx="13292666"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Input Parameters</a:t>
          </a:r>
        </a:p>
      </xdr:txBody>
    </xdr:sp>
    <xdr:clientData/>
  </xdr:oneCellAnchor>
  <xdr:twoCellAnchor>
    <xdr:from>
      <xdr:col>2</xdr:col>
      <xdr:colOff>31962</xdr:colOff>
      <xdr:row>5</xdr:row>
      <xdr:rowOff>96942</xdr:rowOff>
    </xdr:from>
    <xdr:to>
      <xdr:col>24</xdr:col>
      <xdr:colOff>7022</xdr:colOff>
      <xdr:row>12</xdr:row>
      <xdr:rowOff>22412</xdr:rowOff>
    </xdr:to>
    <xdr:sp macro="" textlink="">
      <xdr:nvSpPr>
        <xdr:cNvPr id="5" name="Rectangle: Rounded Corners 4">
          <a:extLst>
            <a:ext uri="{FF2B5EF4-FFF2-40B4-BE49-F238E27FC236}">
              <a16:creationId xmlns:a16="http://schemas.microsoft.com/office/drawing/2014/main" id="{A6996EC0-67E0-4491-925D-6C4D6B361B0A}"/>
            </a:ext>
          </a:extLst>
        </xdr:cNvPr>
        <xdr:cNvSpPr/>
      </xdr:nvSpPr>
      <xdr:spPr>
        <a:xfrm>
          <a:off x="1420707" y="1045632"/>
          <a:ext cx="15276020" cy="1258970"/>
        </a:xfrm>
        <a:prstGeom prst="roundRect">
          <a:avLst>
            <a:gd name="adj" fmla="val 277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GB" sz="1100" b="1">
              <a:solidFill>
                <a:schemeClr val="dk1"/>
              </a:solidFill>
              <a:effectLst/>
              <a:latin typeface="Segoe UI" panose="020B0502040204020203" pitchFamily="34" charset="0"/>
              <a:ea typeface="+mn-ea"/>
              <a:cs typeface="Segoe UI" panose="020B0502040204020203" pitchFamily="34" charset="0"/>
            </a:rPr>
            <a:t>Instructions: </a:t>
          </a:r>
          <a:endParaRPr lang="en-GB" sz="1200" b="1">
            <a:effectLst/>
            <a:latin typeface="Segoe UI" panose="020B0502040204020203" pitchFamily="34" charset="0"/>
            <a:cs typeface="Segoe UI" panose="020B0502040204020203" pitchFamily="34" charset="0"/>
          </a:endParaRPr>
        </a:p>
        <a:p>
          <a:r>
            <a:rPr lang="en-GB" sz="1100" b="0">
              <a:solidFill>
                <a:schemeClr val="dk1"/>
              </a:solidFill>
              <a:effectLst/>
              <a:latin typeface="Segoe UI" panose="020B0502040204020203" pitchFamily="34" charset="0"/>
              <a:ea typeface="+mn-ea"/>
              <a:cs typeface="Segoe UI" panose="020B0502040204020203" pitchFamily="34" charset="0"/>
            </a:rPr>
            <a:t>   1. First set the region of interest from the drop down list </a:t>
          </a:r>
        </a:p>
        <a:p>
          <a:r>
            <a:rPr lang="en-GB" sz="1100" b="0">
              <a:solidFill>
                <a:schemeClr val="dk1"/>
              </a:solidFill>
              <a:effectLst/>
              <a:latin typeface="+mn-lt"/>
              <a:ea typeface="+mn-ea"/>
              <a:cs typeface="+mn-cs"/>
            </a:rPr>
            <a:t>     </a:t>
          </a:r>
          <a:r>
            <a:rPr lang="en-GB" sz="1100" b="0">
              <a:solidFill>
                <a:schemeClr val="dk1"/>
              </a:solidFill>
              <a:effectLst/>
              <a:latin typeface="Segoe UI" panose="020B0502040204020203" pitchFamily="34" charset="0"/>
              <a:ea typeface="+mn-ea"/>
              <a:cs typeface="Segoe UI" panose="020B0502040204020203" pitchFamily="34" charset="0"/>
            </a:rPr>
            <a:t>2. Next set the incident profile (default is CKD basline). All profiles are output from the CKD model (inflated to account for patients that divert to conservative management/care).</a:t>
          </a:r>
        </a:p>
        <a:p>
          <a:endParaRPr lang="en-GB" sz="1100" b="1">
            <a:solidFill>
              <a:schemeClr val="dk1"/>
            </a:solidFill>
            <a:effectLst/>
            <a:latin typeface="Segoe UI" panose="020B0502040204020203" pitchFamily="34" charset="0"/>
            <a:ea typeface="+mn-ea"/>
            <a:cs typeface="Segoe UI" panose="020B0502040204020203" pitchFamily="34" charset="0"/>
          </a:endParaRPr>
        </a:p>
        <a:p>
          <a:r>
            <a:rPr lang="en-GB" sz="1100" b="1">
              <a:solidFill>
                <a:schemeClr val="dk1"/>
              </a:solidFill>
              <a:effectLst/>
              <a:latin typeface="Segoe UI" panose="020B0502040204020203" pitchFamily="34" charset="0"/>
              <a:ea typeface="+mn-ea"/>
              <a:cs typeface="Segoe UI" panose="020B0502040204020203" pitchFamily="34" charset="0"/>
            </a:rPr>
            <a:t>Note</a:t>
          </a:r>
          <a:r>
            <a:rPr lang="en-GB" sz="1100" b="0">
              <a:solidFill>
                <a:schemeClr val="dk1"/>
              </a:solidFill>
              <a:effectLst/>
              <a:latin typeface="Segoe UI" panose="020B0502040204020203" pitchFamily="34" charset="0"/>
              <a:ea typeface="+mn-ea"/>
              <a:cs typeface="Segoe UI" panose="020B0502040204020203" pitchFamily="34" charset="0"/>
            </a:rPr>
            <a:t>: </a:t>
          </a:r>
          <a:r>
            <a:rPr lang="en-GB" sz="1100" b="0">
              <a:effectLst/>
              <a:latin typeface="Segoe UI" panose="020B0502040204020203" pitchFamily="34" charset="0"/>
              <a:cs typeface="Segoe UI" panose="020B0502040204020203" pitchFamily="34" charset="0"/>
            </a:rPr>
            <a:t>Each intervention has a description and a default to allow choice of the scale of the impact of the intervention. Any</a:t>
          </a:r>
          <a:r>
            <a:rPr lang="en-GB" sz="1100" b="0" baseline="0">
              <a:effectLst/>
              <a:latin typeface="Segoe UI" panose="020B0502040204020203" pitchFamily="34" charset="0"/>
              <a:cs typeface="Segoe UI" panose="020B0502040204020203" pitchFamily="34" charset="0"/>
            </a:rPr>
            <a:t> interventions left blank will have no impact on the simulated output</a:t>
          </a:r>
          <a:r>
            <a:rPr lang="en-GB" sz="1100" b="0">
              <a:effectLst/>
              <a:latin typeface="Segoe UI" panose="020B0502040204020203" pitchFamily="34" charset="0"/>
              <a:cs typeface="Segoe UI" panose="020B0502040204020203" pitchFamily="34" charset="0"/>
            </a:rPr>
            <a:t>. The model runs out to 2035. </a:t>
          </a:r>
        </a:p>
        <a:p>
          <a:pPr algn="l"/>
          <a:endParaRPr lang="en-GB" sz="1200" b="1">
            <a:latin typeface="Segoe UI" panose="020B0502040204020203" pitchFamily="34" charset="0"/>
            <a:cs typeface="Segoe UI" panose="020B0502040204020203" pitchFamily="34" charset="0"/>
          </a:endParaRPr>
        </a:p>
      </xdr:txBody>
    </xdr:sp>
    <xdr:clientData/>
  </xdr:twoCellAnchor>
  <xdr:twoCellAnchor editAs="oneCell">
    <xdr:from>
      <xdr:col>0</xdr:col>
      <xdr:colOff>0</xdr:colOff>
      <xdr:row>23</xdr:row>
      <xdr:rowOff>217713</xdr:rowOff>
    </xdr:from>
    <xdr:to>
      <xdr:col>1</xdr:col>
      <xdr:colOff>212281</xdr:colOff>
      <xdr:row>100</xdr:row>
      <xdr:rowOff>21770</xdr:rowOff>
    </xdr:to>
    <xdr:pic>
      <xdr:nvPicPr>
        <xdr:cNvPr id="6" name="Picture 5">
          <a:extLst>
            <a:ext uri="{FF2B5EF4-FFF2-40B4-BE49-F238E27FC236}">
              <a16:creationId xmlns:a16="http://schemas.microsoft.com/office/drawing/2014/main" id="{4C23B7FD-5B37-4219-9006-696445B326CE}"/>
            </a:ext>
          </a:extLst>
        </xdr:cNvPr>
        <xdr:cNvPicPr>
          <a:picLocks noChangeAspect="1"/>
        </xdr:cNvPicPr>
      </xdr:nvPicPr>
      <xdr:blipFill rotWithShape="1">
        <a:blip xmlns:r="http://schemas.openxmlformats.org/officeDocument/2006/relationships" r:embed="rId2"/>
        <a:srcRect r="89965"/>
        <a:stretch>
          <a:fillRect/>
        </a:stretch>
      </xdr:blipFill>
      <xdr:spPr>
        <a:xfrm>
          <a:off x="0" y="5105399"/>
          <a:ext cx="908967" cy="11691257"/>
        </a:xfrm>
        <a:prstGeom prst="rect">
          <a:avLst/>
        </a:prstGeom>
      </xdr:spPr>
    </xdr:pic>
    <xdr:clientData/>
  </xdr:twoCellAnchor>
  <xdr:twoCellAnchor editAs="oneCell">
    <xdr:from>
      <xdr:col>0</xdr:col>
      <xdr:colOff>0</xdr:colOff>
      <xdr:row>85</xdr:row>
      <xdr:rowOff>1</xdr:rowOff>
    </xdr:from>
    <xdr:to>
      <xdr:col>1</xdr:col>
      <xdr:colOff>212281</xdr:colOff>
      <xdr:row>111</xdr:row>
      <xdr:rowOff>108858</xdr:rowOff>
    </xdr:to>
    <xdr:pic>
      <xdr:nvPicPr>
        <xdr:cNvPr id="8" name="Picture 7">
          <a:extLst>
            <a:ext uri="{FF2B5EF4-FFF2-40B4-BE49-F238E27FC236}">
              <a16:creationId xmlns:a16="http://schemas.microsoft.com/office/drawing/2014/main" id="{DD0F0C65-FDDA-430A-A247-BD0D873B260B}"/>
            </a:ext>
          </a:extLst>
        </xdr:cNvPr>
        <xdr:cNvPicPr>
          <a:picLocks noChangeAspect="1"/>
        </xdr:cNvPicPr>
      </xdr:nvPicPr>
      <xdr:blipFill rotWithShape="1">
        <a:blip xmlns:r="http://schemas.openxmlformats.org/officeDocument/2006/relationships" r:embed="rId2"/>
        <a:srcRect r="89965" b="24403"/>
        <a:stretch>
          <a:fillRect/>
        </a:stretch>
      </xdr:blipFill>
      <xdr:spPr>
        <a:xfrm>
          <a:off x="0" y="16557172"/>
          <a:ext cx="908967" cy="2895600"/>
        </a:xfrm>
        <a:prstGeom prst="rect">
          <a:avLst/>
        </a:prstGeom>
      </xdr:spPr>
    </xdr:pic>
    <xdr:clientData/>
  </xdr:twoCellAnchor>
  <xdr:twoCellAnchor editAs="oneCell">
    <xdr:from>
      <xdr:col>0</xdr:col>
      <xdr:colOff>0</xdr:colOff>
      <xdr:row>97</xdr:row>
      <xdr:rowOff>0</xdr:rowOff>
    </xdr:from>
    <xdr:to>
      <xdr:col>1</xdr:col>
      <xdr:colOff>208471</xdr:colOff>
      <xdr:row>99</xdr:row>
      <xdr:rowOff>41909</xdr:rowOff>
    </xdr:to>
    <xdr:pic>
      <xdr:nvPicPr>
        <xdr:cNvPr id="9" name="Picture 8">
          <a:extLst>
            <a:ext uri="{FF2B5EF4-FFF2-40B4-BE49-F238E27FC236}">
              <a16:creationId xmlns:a16="http://schemas.microsoft.com/office/drawing/2014/main" id="{4CF5EEEA-8833-471F-8ACE-6BBB9E24EACC}"/>
            </a:ext>
          </a:extLst>
        </xdr:cNvPr>
        <xdr:cNvPicPr>
          <a:picLocks noChangeAspect="1"/>
        </xdr:cNvPicPr>
      </xdr:nvPicPr>
      <xdr:blipFill rotWithShape="1">
        <a:blip xmlns:r="http://schemas.openxmlformats.org/officeDocument/2006/relationships" r:embed="rId2"/>
        <a:srcRect r="89965" b="80272"/>
        <a:stretch>
          <a:fillRect/>
        </a:stretch>
      </xdr:blipFill>
      <xdr:spPr>
        <a:xfrm>
          <a:off x="0" y="16053911"/>
          <a:ext cx="899034" cy="45719"/>
        </a:xfrm>
        <a:prstGeom prst="rect">
          <a:avLst/>
        </a:prstGeom>
      </xdr:spPr>
    </xdr:pic>
    <xdr:clientData/>
  </xdr:twoCellAnchor>
  <xdr:twoCellAnchor editAs="oneCell">
    <xdr:from>
      <xdr:col>0</xdr:col>
      <xdr:colOff>0</xdr:colOff>
      <xdr:row>85</xdr:row>
      <xdr:rowOff>0</xdr:rowOff>
    </xdr:from>
    <xdr:to>
      <xdr:col>1</xdr:col>
      <xdr:colOff>212281</xdr:colOff>
      <xdr:row>112</xdr:row>
      <xdr:rowOff>99856</xdr:rowOff>
    </xdr:to>
    <xdr:pic>
      <xdr:nvPicPr>
        <xdr:cNvPr id="7" name="Picture 6">
          <a:extLst>
            <a:ext uri="{FF2B5EF4-FFF2-40B4-BE49-F238E27FC236}">
              <a16:creationId xmlns:a16="http://schemas.microsoft.com/office/drawing/2014/main" id="{934AA7E7-A24E-4EA7-9A3A-42E73860A0C7}"/>
            </a:ext>
          </a:extLst>
        </xdr:cNvPr>
        <xdr:cNvPicPr>
          <a:picLocks noChangeAspect="1"/>
        </xdr:cNvPicPr>
      </xdr:nvPicPr>
      <xdr:blipFill rotWithShape="1">
        <a:blip xmlns:r="http://schemas.openxmlformats.org/officeDocument/2006/relationships" r:embed="rId2"/>
        <a:srcRect r="89965"/>
        <a:stretch>
          <a:fillRect/>
        </a:stretch>
      </xdr:blipFill>
      <xdr:spPr>
        <a:xfrm>
          <a:off x="0" y="12464415"/>
          <a:ext cx="902844" cy="3097054"/>
        </a:xfrm>
        <a:prstGeom prst="rect">
          <a:avLst/>
        </a:prstGeom>
      </xdr:spPr>
    </xdr:pic>
    <xdr:clientData/>
  </xdr:twoCellAnchor>
  <xdr:twoCellAnchor>
    <xdr:from>
      <xdr:col>24</xdr:col>
      <xdr:colOff>16909</xdr:colOff>
      <xdr:row>45</xdr:row>
      <xdr:rowOff>103909</xdr:rowOff>
    </xdr:from>
    <xdr:to>
      <xdr:col>29</xdr:col>
      <xdr:colOff>606137</xdr:colOff>
      <xdr:row>59</xdr:row>
      <xdr:rowOff>22074</xdr:rowOff>
    </xdr:to>
    <xdr:graphicFrame macro="">
      <xdr:nvGraphicFramePr>
        <xdr:cNvPr id="17" name="Chart 16">
          <a:extLst>
            <a:ext uri="{FF2B5EF4-FFF2-40B4-BE49-F238E27FC236}">
              <a16:creationId xmlns:a16="http://schemas.microsoft.com/office/drawing/2014/main" id="{09F8D39B-C0FE-4F10-B70B-AD8912805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96289</xdr:colOff>
      <xdr:row>45</xdr:row>
      <xdr:rowOff>86592</xdr:rowOff>
    </xdr:from>
    <xdr:to>
      <xdr:col>36</xdr:col>
      <xdr:colOff>17318</xdr:colOff>
      <xdr:row>59</xdr:row>
      <xdr:rowOff>25988</xdr:rowOff>
    </xdr:to>
    <xdr:graphicFrame macro="">
      <xdr:nvGraphicFramePr>
        <xdr:cNvPr id="18" name="Chart 17">
          <a:extLst>
            <a:ext uri="{FF2B5EF4-FFF2-40B4-BE49-F238E27FC236}">
              <a16:creationId xmlns:a16="http://schemas.microsoft.com/office/drawing/2014/main" id="{73B3EE62-6C6D-4EAD-949A-82123315CD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60</xdr:row>
      <xdr:rowOff>225135</xdr:rowOff>
    </xdr:from>
    <xdr:to>
      <xdr:col>29</xdr:col>
      <xdr:colOff>588818</xdr:colOff>
      <xdr:row>87</xdr:row>
      <xdr:rowOff>588818</xdr:rowOff>
    </xdr:to>
    <xdr:graphicFrame macro="">
      <xdr:nvGraphicFramePr>
        <xdr:cNvPr id="20" name="Chart 19">
          <a:extLst>
            <a:ext uri="{FF2B5EF4-FFF2-40B4-BE49-F238E27FC236}">
              <a16:creationId xmlns:a16="http://schemas.microsoft.com/office/drawing/2014/main" id="{02E1E474-A31F-486A-A4A8-3F08E01E30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204107</xdr:colOff>
      <xdr:row>87</xdr:row>
      <xdr:rowOff>773329</xdr:rowOff>
    </xdr:from>
    <xdr:to>
      <xdr:col>36</xdr:col>
      <xdr:colOff>246166</xdr:colOff>
      <xdr:row>105</xdr:row>
      <xdr:rowOff>95249</xdr:rowOff>
    </xdr:to>
    <xdr:graphicFrame macro="">
      <xdr:nvGraphicFramePr>
        <xdr:cNvPr id="21" name="Chart 20">
          <a:extLst>
            <a:ext uri="{FF2B5EF4-FFF2-40B4-BE49-F238E27FC236}">
              <a16:creationId xmlns:a16="http://schemas.microsoft.com/office/drawing/2014/main" id="{DD5C0CFF-F1D5-4F4D-AC12-8B58409B9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14473</xdr:colOff>
      <xdr:row>87</xdr:row>
      <xdr:rowOff>783126</xdr:rowOff>
    </xdr:from>
    <xdr:to>
      <xdr:col>30</xdr:col>
      <xdr:colOff>48342</xdr:colOff>
      <xdr:row>105</xdr:row>
      <xdr:rowOff>102671</xdr:rowOff>
    </xdr:to>
    <xdr:graphicFrame macro="">
      <xdr:nvGraphicFramePr>
        <xdr:cNvPr id="22" name="Chart 21">
          <a:extLst>
            <a:ext uri="{FF2B5EF4-FFF2-40B4-BE49-F238E27FC236}">
              <a16:creationId xmlns:a16="http://schemas.microsoft.com/office/drawing/2014/main" id="{A53F8B7D-4076-41DB-97DB-0A58232C8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100</xdr:row>
      <xdr:rowOff>87630</xdr:rowOff>
    </xdr:from>
    <xdr:to>
      <xdr:col>1</xdr:col>
      <xdr:colOff>212281</xdr:colOff>
      <xdr:row>100</xdr:row>
      <xdr:rowOff>137159</xdr:rowOff>
    </xdr:to>
    <xdr:pic>
      <xdr:nvPicPr>
        <xdr:cNvPr id="10" name="Picture 9">
          <a:extLst>
            <a:ext uri="{FF2B5EF4-FFF2-40B4-BE49-F238E27FC236}">
              <a16:creationId xmlns:a16="http://schemas.microsoft.com/office/drawing/2014/main" id="{089F8737-8FF2-4AFA-B357-A610FA983EB8}"/>
            </a:ext>
          </a:extLst>
        </xdr:cNvPr>
        <xdr:cNvPicPr>
          <a:picLocks noChangeAspect="1"/>
        </xdr:cNvPicPr>
      </xdr:nvPicPr>
      <xdr:blipFill rotWithShape="1">
        <a:blip xmlns:r="http://schemas.openxmlformats.org/officeDocument/2006/relationships" r:embed="rId2"/>
        <a:srcRect r="89965" b="80272"/>
        <a:stretch>
          <a:fillRect/>
        </a:stretch>
      </xdr:blipFill>
      <xdr:spPr>
        <a:xfrm>
          <a:off x="0" y="18596610"/>
          <a:ext cx="919036" cy="49529"/>
        </a:xfrm>
        <a:prstGeom prst="rect">
          <a:avLst/>
        </a:prstGeom>
      </xdr:spPr>
    </xdr:pic>
    <xdr:clientData/>
  </xdr:twoCellAnchor>
  <xdr:twoCellAnchor>
    <xdr:from>
      <xdr:col>23</xdr:col>
      <xdr:colOff>682942</xdr:colOff>
      <xdr:row>72</xdr:row>
      <xdr:rowOff>451621</xdr:rowOff>
    </xdr:from>
    <xdr:to>
      <xdr:col>30</xdr:col>
      <xdr:colOff>449036</xdr:colOff>
      <xdr:row>83</xdr:row>
      <xdr:rowOff>54429</xdr:rowOff>
    </xdr:to>
    <xdr:graphicFrame macro="">
      <xdr:nvGraphicFramePr>
        <xdr:cNvPr id="11" name="Chart 10">
          <a:extLst>
            <a:ext uri="{FF2B5EF4-FFF2-40B4-BE49-F238E27FC236}">
              <a16:creationId xmlns:a16="http://schemas.microsoft.com/office/drawing/2014/main" id="{BD84FB2F-32FF-49DB-8F03-BA3021E16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420159</xdr:colOff>
      <xdr:row>0</xdr:row>
      <xdr:rowOff>146049</xdr:rowOff>
    </xdr:from>
    <xdr:to>
      <xdr:col>23</xdr:col>
      <xdr:colOff>531592</xdr:colOff>
      <xdr:row>5</xdr:row>
      <xdr:rowOff>20346</xdr:rowOff>
    </xdr:to>
    <xdr:pic>
      <xdr:nvPicPr>
        <xdr:cNvPr id="2" name="Picture 1">
          <a:extLst>
            <a:ext uri="{FF2B5EF4-FFF2-40B4-BE49-F238E27FC236}">
              <a16:creationId xmlns:a16="http://schemas.microsoft.com/office/drawing/2014/main" id="{1CA16F82-1578-4819-880B-76D9CB180F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064019" y="146049"/>
          <a:ext cx="947728" cy="813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208471</xdr:colOff>
      <xdr:row>48</xdr:row>
      <xdr:rowOff>42630</xdr:rowOff>
    </xdr:to>
    <xdr:pic>
      <xdr:nvPicPr>
        <xdr:cNvPr id="3" name="Picture 2">
          <a:extLst>
            <a:ext uri="{FF2B5EF4-FFF2-40B4-BE49-F238E27FC236}">
              <a16:creationId xmlns:a16="http://schemas.microsoft.com/office/drawing/2014/main" id="{AE53B01C-720B-4BC4-9FEC-2BB68F84D818}"/>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05701" cy="6363148"/>
        </a:xfrm>
        <a:prstGeom prst="rect">
          <a:avLst/>
        </a:prstGeom>
      </xdr:spPr>
    </xdr:pic>
    <xdr:clientData/>
  </xdr:twoCellAnchor>
  <xdr:oneCellAnchor>
    <xdr:from>
      <xdr:col>1</xdr:col>
      <xdr:colOff>287867</xdr:colOff>
      <xdr:row>0</xdr:row>
      <xdr:rowOff>160867</xdr:rowOff>
    </xdr:from>
    <xdr:ext cx="13292666" cy="812799"/>
    <xdr:sp macro="" textlink="">
      <xdr:nvSpPr>
        <xdr:cNvPr id="4" name="TextBox 3">
          <a:extLst>
            <a:ext uri="{FF2B5EF4-FFF2-40B4-BE49-F238E27FC236}">
              <a16:creationId xmlns:a16="http://schemas.microsoft.com/office/drawing/2014/main" id="{11A9CF58-8FB0-4D5D-B5AB-4E5CA5E17C60}"/>
            </a:ext>
          </a:extLst>
        </xdr:cNvPr>
        <xdr:cNvSpPr txBox="1"/>
      </xdr:nvSpPr>
      <xdr:spPr>
        <a:xfrm>
          <a:off x="981287" y="160867"/>
          <a:ext cx="13292666"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Cost Parameters</a:t>
          </a:r>
        </a:p>
      </xdr:txBody>
    </xdr:sp>
    <xdr:clientData/>
  </xdr:oneCellAnchor>
  <xdr:twoCellAnchor>
    <xdr:from>
      <xdr:col>2</xdr:col>
      <xdr:colOff>31962</xdr:colOff>
      <xdr:row>5</xdr:row>
      <xdr:rowOff>96943</xdr:rowOff>
    </xdr:from>
    <xdr:to>
      <xdr:col>24</xdr:col>
      <xdr:colOff>7022</xdr:colOff>
      <xdr:row>10</xdr:row>
      <xdr:rowOff>43542</xdr:rowOff>
    </xdr:to>
    <xdr:sp macro="" textlink="">
      <xdr:nvSpPr>
        <xdr:cNvPr id="5" name="Rectangle: Rounded Corners 4">
          <a:extLst>
            <a:ext uri="{FF2B5EF4-FFF2-40B4-BE49-F238E27FC236}">
              <a16:creationId xmlns:a16="http://schemas.microsoft.com/office/drawing/2014/main" id="{5F62FE1B-452D-4B94-BCD8-730F05540B4A}"/>
            </a:ext>
          </a:extLst>
        </xdr:cNvPr>
        <xdr:cNvSpPr/>
      </xdr:nvSpPr>
      <xdr:spPr>
        <a:xfrm>
          <a:off x="1425333" y="1076657"/>
          <a:ext cx="16739060" cy="926314"/>
        </a:xfrm>
        <a:prstGeom prst="roundRect">
          <a:avLst>
            <a:gd name="adj" fmla="val 2778"/>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Model Parameter</a:t>
          </a:r>
          <a:r>
            <a:rPr lang="en-GB" sz="1100" b="1" baseline="0">
              <a:solidFill>
                <a:schemeClr val="dk1"/>
              </a:solidFill>
              <a:effectLst/>
              <a:latin typeface="+mn-lt"/>
              <a:ea typeface="+mn-ea"/>
              <a:cs typeface="+mn-cs"/>
            </a:rPr>
            <a:t> Costs</a:t>
          </a:r>
          <a:endParaRPr lang="en-GB" sz="1100" b="1">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en-GB" sz="1100" b="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Implementation</a:t>
          </a:r>
          <a:r>
            <a:rPr lang="en-GB" sz="1100" b="1" baseline="0">
              <a:solidFill>
                <a:schemeClr val="dk1"/>
              </a:solidFill>
              <a:effectLst/>
              <a:latin typeface="+mn-lt"/>
              <a:ea typeface="+mn-ea"/>
              <a:cs typeface="+mn-cs"/>
            </a:rPr>
            <a:t> / Investment related </a:t>
          </a:r>
          <a:r>
            <a:rPr lang="en-GB" sz="1100" b="1">
              <a:solidFill>
                <a:schemeClr val="dk1"/>
              </a:solidFill>
              <a:effectLst/>
              <a:latin typeface="+mn-lt"/>
              <a:ea typeface="+mn-ea"/>
              <a:cs typeface="+mn-cs"/>
            </a:rPr>
            <a:t>Intervention Costs: </a:t>
          </a:r>
          <a:r>
            <a:rPr lang="en-GB" sz="1100" b="0">
              <a:solidFill>
                <a:schemeClr val="dk1"/>
              </a:solidFill>
              <a:effectLst/>
              <a:latin typeface="+mn-lt"/>
              <a:ea typeface="+mn-ea"/>
              <a:cs typeface="+mn-cs"/>
            </a:rPr>
            <a:t>This section is for entering estimates of any additional, implementation, or transformation costs associated with the interventions considered on the Inputs Tab. This area allows you to consider the costs that may be needed to achieve changes and is seperate from the relative costs of the various treatment pathways (i.e., the costs shown in the table above for ICHD, HHD, PD, or Living with Tx).</a:t>
          </a:r>
          <a:endParaRPr lang="en-GB">
            <a:effectLst/>
          </a:endParaRPr>
        </a:p>
        <a:p>
          <a:endParaRPr lang="en-GB" sz="1100" b="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editAs="oneCell">
    <xdr:from>
      <xdr:col>0</xdr:col>
      <xdr:colOff>0</xdr:colOff>
      <xdr:row>13</xdr:row>
      <xdr:rowOff>0</xdr:rowOff>
    </xdr:from>
    <xdr:to>
      <xdr:col>1</xdr:col>
      <xdr:colOff>212281</xdr:colOff>
      <xdr:row>47</xdr:row>
      <xdr:rowOff>1905</xdr:rowOff>
    </xdr:to>
    <xdr:pic>
      <xdr:nvPicPr>
        <xdr:cNvPr id="6" name="Picture 5">
          <a:extLst>
            <a:ext uri="{FF2B5EF4-FFF2-40B4-BE49-F238E27FC236}">
              <a16:creationId xmlns:a16="http://schemas.microsoft.com/office/drawing/2014/main" id="{E408488B-9660-4451-AE6C-47153739BC36}"/>
            </a:ext>
          </a:extLst>
        </xdr:cNvPr>
        <xdr:cNvPicPr>
          <a:picLocks noChangeAspect="1"/>
        </xdr:cNvPicPr>
      </xdr:nvPicPr>
      <xdr:blipFill rotWithShape="1">
        <a:blip xmlns:r="http://schemas.openxmlformats.org/officeDocument/2006/relationships" r:embed="rId2"/>
        <a:srcRect r="89965"/>
        <a:stretch>
          <a:fillRect/>
        </a:stretch>
      </xdr:blipFill>
      <xdr:spPr>
        <a:xfrm>
          <a:off x="0" y="2598964"/>
          <a:ext cx="902435" cy="3578679"/>
        </a:xfrm>
        <a:prstGeom prst="rect">
          <a:avLst/>
        </a:prstGeom>
      </xdr:spPr>
    </xdr:pic>
    <xdr:clientData/>
  </xdr:twoCellAnchor>
  <xdr:twoCellAnchor editAs="oneCell">
    <xdr:from>
      <xdr:col>0</xdr:col>
      <xdr:colOff>0</xdr:colOff>
      <xdr:row>13</xdr:row>
      <xdr:rowOff>0</xdr:rowOff>
    </xdr:from>
    <xdr:to>
      <xdr:col>1</xdr:col>
      <xdr:colOff>208471</xdr:colOff>
      <xdr:row>16</xdr:row>
      <xdr:rowOff>420460</xdr:rowOff>
    </xdr:to>
    <xdr:pic>
      <xdr:nvPicPr>
        <xdr:cNvPr id="8" name="Picture 7">
          <a:extLst>
            <a:ext uri="{FF2B5EF4-FFF2-40B4-BE49-F238E27FC236}">
              <a16:creationId xmlns:a16="http://schemas.microsoft.com/office/drawing/2014/main" id="{39374D94-A6E3-4D0F-8791-FEDDB6761DF4}"/>
            </a:ext>
          </a:extLst>
        </xdr:cNvPr>
        <xdr:cNvPicPr>
          <a:picLocks noChangeAspect="1"/>
        </xdr:cNvPicPr>
      </xdr:nvPicPr>
      <xdr:blipFill rotWithShape="1">
        <a:blip xmlns:r="http://schemas.openxmlformats.org/officeDocument/2006/relationships" r:embed="rId2"/>
        <a:srcRect r="89965" b="80272"/>
        <a:stretch>
          <a:fillRect/>
        </a:stretch>
      </xdr:blipFill>
      <xdr:spPr>
        <a:xfrm>
          <a:off x="0" y="18503265"/>
          <a:ext cx="905701" cy="1270635"/>
        </a:xfrm>
        <a:prstGeom prst="rect">
          <a:avLst/>
        </a:prstGeom>
      </xdr:spPr>
    </xdr:pic>
    <xdr:clientData/>
  </xdr:twoCellAnchor>
  <xdr:twoCellAnchor editAs="oneCell">
    <xdr:from>
      <xdr:col>0</xdr:col>
      <xdr:colOff>0</xdr:colOff>
      <xdr:row>27</xdr:row>
      <xdr:rowOff>54429</xdr:rowOff>
    </xdr:from>
    <xdr:to>
      <xdr:col>1</xdr:col>
      <xdr:colOff>208471</xdr:colOff>
      <xdr:row>28</xdr:row>
      <xdr:rowOff>0</xdr:rowOff>
    </xdr:to>
    <xdr:pic>
      <xdr:nvPicPr>
        <xdr:cNvPr id="12" name="Picture 11">
          <a:extLst>
            <a:ext uri="{FF2B5EF4-FFF2-40B4-BE49-F238E27FC236}">
              <a16:creationId xmlns:a16="http://schemas.microsoft.com/office/drawing/2014/main" id="{9F07DFF4-512B-4F6E-8D3B-675197474FDE}"/>
            </a:ext>
          </a:extLst>
        </xdr:cNvPr>
        <xdr:cNvPicPr>
          <a:picLocks noChangeAspect="1"/>
        </xdr:cNvPicPr>
      </xdr:nvPicPr>
      <xdr:blipFill rotWithShape="1">
        <a:blip xmlns:r="http://schemas.openxmlformats.org/officeDocument/2006/relationships" r:embed="rId2"/>
        <a:srcRect r="89965"/>
        <a:stretch>
          <a:fillRect/>
        </a:stretch>
      </xdr:blipFill>
      <xdr:spPr>
        <a:xfrm flipV="1">
          <a:off x="0" y="6354536"/>
          <a:ext cx="906245" cy="136071"/>
        </a:xfrm>
        <a:prstGeom prst="rect">
          <a:avLst/>
        </a:prstGeom>
      </xdr:spPr>
    </xdr:pic>
    <xdr:clientData/>
  </xdr:twoCellAnchor>
  <xdr:twoCellAnchor>
    <xdr:from>
      <xdr:col>15</xdr:col>
      <xdr:colOff>32657</xdr:colOff>
      <xdr:row>30</xdr:row>
      <xdr:rowOff>1</xdr:rowOff>
    </xdr:from>
    <xdr:to>
      <xdr:col>23</xdr:col>
      <xdr:colOff>620485</xdr:colOff>
      <xdr:row>30</xdr:row>
      <xdr:rowOff>2155373</xdr:rowOff>
    </xdr:to>
    <xdr:sp macro="" textlink="">
      <xdr:nvSpPr>
        <xdr:cNvPr id="15" name="Rectangle: Rounded Corners 14">
          <a:extLst>
            <a:ext uri="{FF2B5EF4-FFF2-40B4-BE49-F238E27FC236}">
              <a16:creationId xmlns:a16="http://schemas.microsoft.com/office/drawing/2014/main" id="{13208680-AFD1-4BF7-8327-A0085CBE0298}"/>
            </a:ext>
          </a:extLst>
        </xdr:cNvPr>
        <xdr:cNvSpPr/>
      </xdr:nvSpPr>
      <xdr:spPr>
        <a:xfrm>
          <a:off x="10559143" y="6901544"/>
          <a:ext cx="7522028" cy="2155372"/>
        </a:xfrm>
        <a:prstGeom prst="roundRect">
          <a:avLst>
            <a:gd name="adj" fmla="val 0"/>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marL="0" lvl="0" indent="0">
            <a:buFont typeface="Arial" panose="020B0604020202020204" pitchFamily="34" charset="0"/>
            <a:buNone/>
          </a:pPr>
          <a:r>
            <a:rPr lang="en-GB" sz="1100" b="1">
              <a:solidFill>
                <a:schemeClr val="dk1"/>
              </a:solidFill>
              <a:effectLst/>
              <a:latin typeface="Segoe UI" panose="020B0502040204020203" pitchFamily="34" charset="0"/>
              <a:ea typeface="+mn-ea"/>
              <a:cs typeface="Segoe UI" panose="020B0502040204020203" pitchFamily="34" charset="0"/>
            </a:rPr>
            <a:t>Include:</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Costs to implement new programmes, initiatives, or service changes (e.g., infrastructure, staff training, digital tools, project management, communications).</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One-off or time-limited spending not captured by standard per-patient costs.</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Incremental or marginal costs directly linked to delivering the intervention (e.g., consultancy, rollout equipment, pilot funding).</a:t>
          </a:r>
        </a:p>
        <a:p>
          <a:pPr marL="171450" lvl="0" indent="-171450">
            <a:buFont typeface="Arial" panose="020B0604020202020204" pitchFamily="34" charset="0"/>
            <a:buChar char="•"/>
          </a:pPr>
          <a:endParaRPr lang="en-GB" sz="1100">
            <a:effectLst/>
            <a:latin typeface="Segoe UI" panose="020B0502040204020203" pitchFamily="34" charset="0"/>
            <a:cs typeface="Segoe UI" panose="020B0502040204020203" pitchFamily="34" charset="0"/>
          </a:endParaRPr>
        </a:p>
        <a:p>
          <a:pPr marL="0" lvl="0" indent="0">
            <a:buFont typeface="Arial" panose="020B0604020202020204" pitchFamily="34" charset="0"/>
            <a:buNone/>
          </a:pPr>
          <a:r>
            <a:rPr lang="en-GB" sz="1100" b="1">
              <a:solidFill>
                <a:schemeClr val="dk1"/>
              </a:solidFill>
              <a:effectLst/>
              <a:latin typeface="Segoe UI" panose="020B0502040204020203" pitchFamily="34" charset="0"/>
              <a:ea typeface="+mn-ea"/>
              <a:cs typeface="Segoe UI" panose="020B0502040204020203" pitchFamily="34" charset="0"/>
            </a:rPr>
            <a:t>Do not include:</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Routine activity costs already covered by average per-patient costs above.</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Ongoing treatment or usual care costs (unless these are genuinely additional and not captured elsewhere).</a:t>
          </a:r>
          <a:endParaRPr lang="en-GB" sz="1100">
            <a:effectLst/>
            <a:latin typeface="Segoe UI" panose="020B0502040204020203" pitchFamily="34" charset="0"/>
            <a:cs typeface="Segoe UI" panose="020B0502040204020203" pitchFamily="34" charset="0"/>
          </a:endParaRPr>
        </a:p>
        <a:p>
          <a:pPr marL="171450" lvl="0" indent="-171450">
            <a:buFont typeface="Arial" panose="020B0604020202020204" pitchFamily="34" charset="0"/>
            <a:buChar char="•"/>
          </a:pPr>
          <a:r>
            <a:rPr lang="en-GB" sz="1100">
              <a:solidFill>
                <a:schemeClr val="dk1"/>
              </a:solidFill>
              <a:effectLst/>
              <a:latin typeface="Segoe UI" panose="020B0502040204020203" pitchFamily="34" charset="0"/>
              <a:ea typeface="+mn-ea"/>
              <a:cs typeface="Segoe UI" panose="020B0502040204020203" pitchFamily="34" charset="0"/>
            </a:rPr>
            <a:t>Costs already counted in other model parameters (avoid double-counting).</a:t>
          </a:r>
        </a:p>
        <a:p>
          <a:pPr marL="171450" lvl="0" indent="-171450">
            <a:buFont typeface="Arial" panose="020B0604020202020204" pitchFamily="34" charset="0"/>
            <a:buChar char="•"/>
          </a:pPr>
          <a:endParaRPr lang="en-GB" sz="1100" b="1">
            <a:solidFill>
              <a:schemeClr val="dk1"/>
            </a:solidFill>
            <a:effectLst/>
            <a:latin typeface="Segoe UI" panose="020B0502040204020203" pitchFamily="34" charset="0"/>
            <a:ea typeface="+mn-ea"/>
            <a:cs typeface="Segoe UI" panose="020B0502040204020203" pitchFamily="34" charset="0"/>
          </a:endParaRPr>
        </a:p>
        <a:p>
          <a:endParaRPr lang="en-GB" sz="1100" b="0">
            <a:solidFill>
              <a:schemeClr val="dk1"/>
            </a:solidFill>
            <a:effectLst/>
            <a:latin typeface="Segoe UI" panose="020B0502040204020203" pitchFamily="34" charset="0"/>
            <a:ea typeface="+mn-ea"/>
            <a:cs typeface="Segoe UI" panose="020B0502040204020203" pitchFamily="34" charset="0"/>
          </a:endParaRPr>
        </a:p>
        <a:p>
          <a:endParaRPr lang="en-GB" sz="1100" b="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twoCellAnchor>
    <xdr:from>
      <xdr:col>2</xdr:col>
      <xdr:colOff>51709</xdr:colOff>
      <xdr:row>30</xdr:row>
      <xdr:rowOff>36744</xdr:rowOff>
    </xdr:from>
    <xdr:to>
      <xdr:col>14</xdr:col>
      <xdr:colOff>653143</xdr:colOff>
      <xdr:row>31</xdr:row>
      <xdr:rowOff>6531</xdr:rowOff>
    </xdr:to>
    <xdr:sp macro="" textlink="">
      <xdr:nvSpPr>
        <xdr:cNvPr id="11" name="Rectangle: Rounded Corners 10">
          <a:extLst>
            <a:ext uri="{FF2B5EF4-FFF2-40B4-BE49-F238E27FC236}">
              <a16:creationId xmlns:a16="http://schemas.microsoft.com/office/drawing/2014/main" id="{A7519CE7-8D4F-492C-A887-40DB0717D045}"/>
            </a:ext>
          </a:extLst>
        </xdr:cNvPr>
        <xdr:cNvSpPr/>
      </xdr:nvSpPr>
      <xdr:spPr>
        <a:xfrm>
          <a:off x="1445080" y="6938287"/>
          <a:ext cx="8907234" cy="2244901"/>
        </a:xfrm>
        <a:prstGeom prst="roundRect">
          <a:avLst>
            <a:gd name="adj" fmla="val 0"/>
          </a:avLst>
        </a:prstGeom>
        <a:solidFill>
          <a:schemeClr val="bg1">
            <a:lumMod val="95000"/>
          </a:schemeClr>
        </a:solidFill>
        <a:ln>
          <a:no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r>
            <a:rPr lang="en-GB" sz="1100">
              <a:solidFill>
                <a:schemeClr val="dk1"/>
              </a:solidFill>
              <a:effectLst/>
              <a:latin typeface="Segoe UI" panose="020B0502040204020203" pitchFamily="34" charset="0"/>
              <a:ea typeface="+mn-ea"/>
              <a:cs typeface="Segoe UI" panose="020B0502040204020203" pitchFamily="34" charset="0"/>
            </a:rPr>
            <a:t>Use this section to enter estimates for </a:t>
          </a:r>
          <a:r>
            <a:rPr lang="en-GB" sz="1100" b="1">
              <a:solidFill>
                <a:schemeClr val="dk1"/>
              </a:solidFill>
              <a:effectLst/>
              <a:latin typeface="Segoe UI" panose="020B0502040204020203" pitchFamily="34" charset="0"/>
              <a:ea typeface="+mn-ea"/>
              <a:cs typeface="Segoe UI" panose="020B0502040204020203" pitchFamily="34" charset="0"/>
            </a:rPr>
            <a:t>additional, implementation, or transformation costs</a:t>
          </a:r>
          <a:r>
            <a:rPr lang="en-GB" sz="1100">
              <a:solidFill>
                <a:schemeClr val="dk1"/>
              </a:solidFill>
              <a:effectLst/>
              <a:latin typeface="Segoe UI" panose="020B0502040204020203" pitchFamily="34" charset="0"/>
              <a:ea typeface="+mn-ea"/>
              <a:cs typeface="Segoe UI" panose="020B0502040204020203" pitchFamily="34" charset="0"/>
            </a:rPr>
            <a:t> needed for interventions on the Inputs Tab. These costs are </a:t>
          </a:r>
          <a:r>
            <a:rPr lang="en-GB" sz="1100" b="0">
              <a:solidFill>
                <a:schemeClr val="dk1"/>
              </a:solidFill>
              <a:effectLst/>
              <a:latin typeface="Segoe UI" panose="020B0502040204020203" pitchFamily="34" charset="0"/>
              <a:ea typeface="+mn-ea"/>
              <a:cs typeface="Segoe UI" panose="020B0502040204020203" pitchFamily="34" charset="0"/>
            </a:rPr>
            <a:t>separate from the per-patient treatment costs </a:t>
          </a:r>
          <a:r>
            <a:rPr lang="en-GB" sz="1100">
              <a:solidFill>
                <a:schemeClr val="dk1"/>
              </a:solidFill>
              <a:effectLst/>
              <a:latin typeface="Segoe UI" panose="020B0502040204020203" pitchFamily="34" charset="0"/>
              <a:ea typeface="+mn-ea"/>
              <a:cs typeface="Segoe UI" panose="020B0502040204020203" pitchFamily="34" charset="0"/>
            </a:rPr>
            <a:t>(e.g., ICHD, HHD, PD, Living with Tx shown above). </a:t>
          </a:r>
          <a:r>
            <a:rPr lang="en-GB">
              <a:latin typeface="Segoe UI" panose="020B0502040204020203" pitchFamily="34" charset="0"/>
              <a:cs typeface="Segoe UI" panose="020B0502040204020203" pitchFamily="34" charset="0"/>
            </a:rPr>
            <a:t>For each intervention, enter a name/description and input the estimated cost in the year(s) the spending will occur, leaving other years blank if no cost is expected.</a:t>
          </a:r>
        </a:p>
        <a:p>
          <a:endParaRPr lang="en-GB" sz="1100">
            <a:effectLst/>
            <a:latin typeface="Segoe UI" panose="020B0502040204020203" pitchFamily="34" charset="0"/>
            <a:cs typeface="Segoe UI" panose="020B0502040204020203" pitchFamily="34" charset="0"/>
          </a:endParaRPr>
        </a:p>
        <a:p>
          <a:r>
            <a:rPr lang="en-GB" sz="1100" b="1">
              <a:effectLst/>
              <a:latin typeface="Segoe UI" panose="020B0502040204020203" pitchFamily="34" charset="0"/>
              <a:cs typeface="Segoe UI" panose="020B0502040204020203" pitchFamily="34" charset="0"/>
            </a:rPr>
            <a:t>Note:</a:t>
          </a:r>
          <a:r>
            <a:rPr lang="en-GB" sz="1100" b="1" baseline="0">
              <a:effectLst/>
              <a:latin typeface="Segoe UI" panose="020B0502040204020203" pitchFamily="34" charset="0"/>
              <a:cs typeface="Segoe UI" panose="020B0502040204020203" pitchFamily="34" charset="0"/>
            </a:rPr>
            <a:t>  </a:t>
          </a:r>
        </a:p>
        <a:p>
          <a:pPr marL="171450" indent="-171450">
            <a:buFont typeface="Arial" panose="020B0604020202020204" pitchFamily="34" charset="0"/>
            <a:buChar char="•"/>
          </a:pPr>
          <a:r>
            <a:rPr lang="en-GB" sz="1100" b="0">
              <a:solidFill>
                <a:schemeClr val="dk1"/>
              </a:solidFill>
              <a:effectLst/>
              <a:latin typeface="Segoe UI" panose="020B0502040204020203" pitchFamily="34" charset="0"/>
              <a:ea typeface="+mn-ea"/>
              <a:cs typeface="Segoe UI" panose="020B0502040204020203" pitchFamily="34" charset="0"/>
            </a:rPr>
            <a:t>The model assumes £0 implementation costs unless values are entered here. </a:t>
          </a:r>
          <a:endParaRPr lang="en-GB">
            <a:effectLst/>
            <a:latin typeface="Segoe UI" panose="020B0502040204020203" pitchFamily="34" charset="0"/>
            <a:cs typeface="Segoe UI" panose="020B0502040204020203" pitchFamily="34" charset="0"/>
          </a:endParaRPr>
        </a:p>
        <a:p>
          <a:pPr marL="171450" indent="-171450">
            <a:buFont typeface="Arial" panose="020B0604020202020204" pitchFamily="34" charset="0"/>
            <a:buChar char="•"/>
          </a:pPr>
          <a:r>
            <a:rPr lang="en-GB" sz="1100" b="0">
              <a:solidFill>
                <a:schemeClr val="dk1"/>
              </a:solidFill>
              <a:effectLst/>
              <a:latin typeface="Segoe UI" panose="020B0502040204020203" pitchFamily="34" charset="0"/>
              <a:ea typeface="+mn-ea"/>
              <a:cs typeface="Segoe UI" panose="020B0502040204020203" pitchFamily="34" charset="0"/>
            </a:rPr>
            <a:t>Enter only costs that would be additional to “business as usual.” Do not add costs that would already be included in per-patient costs. </a:t>
          </a:r>
          <a:endParaRPr lang="en-GB">
            <a:effectLst/>
            <a:latin typeface="Segoe UI" panose="020B0502040204020203" pitchFamily="34" charset="0"/>
            <a:cs typeface="Segoe UI" panose="020B0502040204020203" pitchFamily="34" charset="0"/>
          </a:endParaRPr>
        </a:p>
        <a:p>
          <a:pPr marL="171450" indent="-171450">
            <a:buFont typeface="Arial" panose="020B0604020202020204" pitchFamily="34" charset="0"/>
            <a:buChar char="•"/>
          </a:pPr>
          <a:r>
            <a:rPr lang="en-GB" sz="1100" b="0">
              <a:solidFill>
                <a:schemeClr val="dk1"/>
              </a:solidFill>
              <a:effectLst/>
              <a:latin typeface="Segoe UI" panose="020B0502040204020203" pitchFamily="34" charset="0"/>
              <a:ea typeface="+mn-ea"/>
              <a:cs typeface="Segoe UI" panose="020B0502040204020203" pitchFamily="34" charset="0"/>
            </a:rPr>
            <a:t>All figures should be entered as gross costs (do not net off (subtract) any anticipated savings—these are captured in the model outputs).</a:t>
          </a:r>
          <a:endParaRPr lang="en-GB" sz="1100" b="1">
            <a:solidFill>
              <a:schemeClr val="dk1"/>
            </a:solidFill>
            <a:effectLst/>
            <a:latin typeface="Segoe UI" panose="020B0502040204020203" pitchFamily="34" charset="0"/>
            <a:ea typeface="+mn-ea"/>
            <a:cs typeface="Segoe UI" panose="020B0502040204020203" pitchFamily="34" charset="0"/>
          </a:endParaRPr>
        </a:p>
        <a:p>
          <a:endParaRPr lang="en-GB" sz="1100" b="0">
            <a:solidFill>
              <a:schemeClr val="dk1"/>
            </a:solidFill>
            <a:effectLst/>
            <a:latin typeface="Segoe UI" panose="020B0502040204020203" pitchFamily="34" charset="0"/>
            <a:ea typeface="+mn-ea"/>
            <a:cs typeface="Segoe UI" panose="020B0502040204020203" pitchFamily="34" charset="0"/>
          </a:endParaRPr>
        </a:p>
        <a:p>
          <a:endParaRPr lang="en-GB" sz="1100" b="0">
            <a:solidFill>
              <a:schemeClr val="dk1"/>
            </a:solidFill>
            <a:effectLst/>
            <a:latin typeface="Segoe UI" panose="020B0502040204020203" pitchFamily="34" charset="0"/>
            <a:ea typeface="+mn-ea"/>
            <a:cs typeface="Segoe UI" panose="020B0502040204020203"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21</xdr:col>
      <xdr:colOff>143934</xdr:colOff>
      <xdr:row>0</xdr:row>
      <xdr:rowOff>155574</xdr:rowOff>
    </xdr:from>
    <xdr:to>
      <xdr:col>22</xdr:col>
      <xdr:colOff>474132</xdr:colOff>
      <xdr:row>4</xdr:row>
      <xdr:rowOff>143536</xdr:rowOff>
    </xdr:to>
    <xdr:pic>
      <xdr:nvPicPr>
        <xdr:cNvPr id="2" name="Picture 1">
          <a:extLst>
            <a:ext uri="{FF2B5EF4-FFF2-40B4-BE49-F238E27FC236}">
              <a16:creationId xmlns:a16="http://schemas.microsoft.com/office/drawing/2014/main" id="{AE490C0E-5C02-4387-B72B-C82D5565BA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143779" y="155574"/>
          <a:ext cx="1002663" cy="8280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248512</xdr:colOff>
      <xdr:row>30</xdr:row>
      <xdr:rowOff>88476</xdr:rowOff>
    </xdr:to>
    <xdr:pic>
      <xdr:nvPicPr>
        <xdr:cNvPr id="3" name="Picture 2">
          <a:extLst>
            <a:ext uri="{FF2B5EF4-FFF2-40B4-BE49-F238E27FC236}">
              <a16:creationId xmlns:a16="http://schemas.microsoft.com/office/drawing/2014/main" id="{A56FE908-FF19-4942-A417-C18448CEB15A}"/>
            </a:ext>
          </a:extLst>
        </xdr:cNvPr>
        <xdr:cNvPicPr>
          <a:picLocks noChangeAspect="1"/>
        </xdr:cNvPicPr>
      </xdr:nvPicPr>
      <xdr:blipFill rotWithShape="1">
        <a:blip xmlns:r="http://schemas.openxmlformats.org/officeDocument/2006/relationships" r:embed="rId2"/>
        <a:srcRect r="89965"/>
        <a:stretch>
          <a:fillRect/>
        </a:stretch>
      </xdr:blipFill>
      <xdr:spPr>
        <a:xfrm>
          <a:off x="0" y="0"/>
          <a:ext cx="911452" cy="6373071"/>
        </a:xfrm>
        <a:prstGeom prst="rect">
          <a:avLst/>
        </a:prstGeom>
      </xdr:spPr>
    </xdr:pic>
    <xdr:clientData/>
  </xdr:twoCellAnchor>
  <xdr:oneCellAnchor>
    <xdr:from>
      <xdr:col>1</xdr:col>
      <xdr:colOff>296333</xdr:colOff>
      <xdr:row>0</xdr:row>
      <xdr:rowOff>160867</xdr:rowOff>
    </xdr:from>
    <xdr:ext cx="13284200" cy="812799"/>
    <xdr:sp macro="" textlink="">
      <xdr:nvSpPr>
        <xdr:cNvPr id="4" name="TextBox 3">
          <a:extLst>
            <a:ext uri="{FF2B5EF4-FFF2-40B4-BE49-F238E27FC236}">
              <a16:creationId xmlns:a16="http://schemas.microsoft.com/office/drawing/2014/main" id="{FDD04E5D-75C8-43E4-A9AF-BD831A90F644}"/>
            </a:ext>
          </a:extLst>
        </xdr:cNvPr>
        <xdr:cNvSpPr txBox="1"/>
      </xdr:nvSpPr>
      <xdr:spPr>
        <a:xfrm>
          <a:off x="961178" y="162772"/>
          <a:ext cx="13284200" cy="8127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en-GB" sz="2400" b="1" i="0" u="none" strike="noStrike" kern="0" cap="none" spc="0" normalizeH="0" baseline="0" noProof="0">
              <a:ln>
                <a:noFill/>
              </a:ln>
              <a:solidFill>
                <a:schemeClr val="tx1"/>
              </a:solidFill>
              <a:effectLst/>
              <a:uLnTx/>
              <a:uFillTx/>
              <a:latin typeface="Segoe UI" panose="020B0502040204020203" pitchFamily="34" charset="0"/>
              <a:ea typeface="+mn-ea"/>
              <a:cs typeface="Segoe UI" panose="020B0502040204020203" pitchFamily="34" charset="0"/>
            </a:rPr>
            <a:t>   Renal Model: </a:t>
          </a:r>
          <a:r>
            <a:rPr kumimoji="0" lang="en-GB" sz="2400" b="1" i="0" u="none" strike="noStrike" kern="0" cap="none" spc="0" normalizeH="0" baseline="0" noProof="0">
              <a:ln>
                <a:noFill/>
              </a:ln>
              <a:solidFill>
                <a:srgbClr val="5881C1"/>
              </a:solidFill>
              <a:effectLst/>
              <a:uLnTx/>
              <a:uFillTx/>
              <a:latin typeface="Segoe UI" panose="020B0502040204020203" pitchFamily="34" charset="0"/>
              <a:ea typeface="+mn-ea"/>
              <a:cs typeface="Segoe UI" panose="020B0502040204020203" pitchFamily="34" charset="0"/>
            </a:rPr>
            <a:t>References</a:t>
          </a:r>
        </a:p>
      </xdr:txBody>
    </xdr:sp>
    <xdr:clientData/>
  </xdr:oneCellAnchor>
  <xdr:twoCellAnchor>
    <xdr:from>
      <xdr:col>2</xdr:col>
      <xdr:colOff>42333</xdr:colOff>
      <xdr:row>9</xdr:row>
      <xdr:rowOff>24918</xdr:rowOff>
    </xdr:from>
    <xdr:to>
      <xdr:col>22</xdr:col>
      <xdr:colOff>550333</xdr:colOff>
      <xdr:row>26</xdr:row>
      <xdr:rowOff>77461</xdr:rowOff>
    </xdr:to>
    <xdr:sp macro="" textlink="">
      <xdr:nvSpPr>
        <xdr:cNvPr id="5" name="Rectangle: Rounded Corners 19">
          <a:extLst>
            <a:ext uri="{FF2B5EF4-FFF2-40B4-BE49-F238E27FC236}">
              <a16:creationId xmlns:a16="http://schemas.microsoft.com/office/drawing/2014/main" id="{ACC47D56-33D6-487B-95ED-D8CF5FF736D6}"/>
            </a:ext>
          </a:extLst>
        </xdr:cNvPr>
        <xdr:cNvSpPr/>
      </xdr:nvSpPr>
      <xdr:spPr>
        <a:xfrm>
          <a:off x="1377738" y="1907058"/>
          <a:ext cx="13844905" cy="3618703"/>
        </a:xfrm>
        <a:prstGeom prst="roundRect">
          <a:avLst>
            <a:gd name="adj" fmla="val 2112"/>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solidFill>
                <a:schemeClr val="tx1"/>
              </a:solidFill>
              <a:latin typeface="Segoe UI" panose="020B0502040204020203" pitchFamily="34" charset="0"/>
              <a:cs typeface="Segoe UI" panose="020B0502040204020203" pitchFamily="34" charset="0"/>
            </a:rPr>
            <a:t>For further</a:t>
          </a:r>
          <a:r>
            <a:rPr lang="en-GB" sz="1200" b="1" baseline="0">
              <a:solidFill>
                <a:schemeClr val="tx1"/>
              </a:solidFill>
              <a:latin typeface="Segoe UI" panose="020B0502040204020203" pitchFamily="34" charset="0"/>
              <a:cs typeface="Segoe UI" panose="020B0502040204020203" pitchFamily="34" charset="0"/>
            </a:rPr>
            <a:t> model documentation</a:t>
          </a:r>
          <a:r>
            <a:rPr lang="en-GB" sz="1200" b="1">
              <a:solidFill>
                <a:schemeClr val="tx1"/>
              </a:solidFill>
              <a:latin typeface="Segoe UI" panose="020B0502040204020203" pitchFamily="34" charset="0"/>
              <a:cs typeface="Segoe UI" panose="020B0502040204020203" pitchFamily="34" charset="0"/>
            </a:rPr>
            <a:t>:</a:t>
          </a:r>
        </a:p>
        <a:p>
          <a:pPr marL="171450" indent="-171450" algn="l">
            <a:buFont typeface="Arial" panose="020B0604020202020204" pitchFamily="34" charset="0"/>
            <a:buChar char="•"/>
          </a:pPr>
          <a:r>
            <a:rPr lang="en-GB" sz="1200">
              <a:latin typeface="Segoe UI" panose="020B0502040204020203" pitchFamily="34" charset="0"/>
              <a:cs typeface="Segoe UI" panose="020B0502040204020203" pitchFamily="34" charset="0"/>
              <a:hlinkClick xmlns:r="http://schemas.openxmlformats.org/officeDocument/2006/relationships" r:id=""/>
            </a:rPr>
            <a:t>GitHub - The-Strategy-Unit/renal-services: Repo for files and documents relating to the CKD and KRT models of the Renal Services project (code 0012)</a:t>
          </a:r>
          <a:endParaRPr lang="en-GB" sz="1200" b="1" baseline="0">
            <a:solidFill>
              <a:schemeClr val="tx1"/>
            </a:solidFill>
            <a:latin typeface="Segoe UI" panose="020B0502040204020203" pitchFamily="34" charset="0"/>
            <a:cs typeface="Segoe UI" panose="020B0502040204020203" pitchFamily="34" charset="0"/>
          </a:endParaRPr>
        </a:p>
        <a:p>
          <a:pPr marL="171450" indent="-171450" algn="l">
            <a:buFont typeface="Arial" panose="020B0604020202020204" pitchFamily="34" charset="0"/>
            <a:buChar char="•"/>
          </a:pPr>
          <a:endParaRPr lang="en-GB" sz="1200" b="1" baseline="0">
            <a:solidFill>
              <a:schemeClr val="tx1"/>
            </a:solidFill>
            <a:latin typeface="Segoe UI" panose="020B0502040204020203" pitchFamily="34" charset="0"/>
            <a:cs typeface="Segoe UI" panose="020B0502040204020203" pitchFamily="34" charset="0"/>
          </a:endParaRPr>
        </a:p>
        <a:p>
          <a:pPr algn="l"/>
          <a:r>
            <a:rPr lang="en-GB" sz="1200" b="1" baseline="0">
              <a:solidFill>
                <a:schemeClr val="tx1"/>
              </a:solidFill>
              <a:latin typeface="Segoe UI" panose="020B0502040204020203" pitchFamily="34" charset="0"/>
              <a:cs typeface="Segoe UI" panose="020B0502040204020203" pitchFamily="34" charset="0"/>
            </a:rPr>
            <a:t>DES modelling method references: </a:t>
          </a:r>
        </a:p>
        <a:p>
          <a:pPr marL="171450" indent="-171450" algn="l">
            <a:buFont typeface="Arial" panose="020B0604020202020204" pitchFamily="34" charset="0"/>
            <a:buChar char="•"/>
          </a:pPr>
          <a:r>
            <a:rPr lang="en-GB" sz="1200" b="0" baseline="0">
              <a:solidFill>
                <a:schemeClr val="tx1"/>
              </a:solidFill>
              <a:latin typeface="Segoe UI" panose="020B0502040204020203" pitchFamily="34" charset="0"/>
              <a:cs typeface="Segoe UI" panose="020B0502040204020203" pitchFamily="34" charset="0"/>
            </a:rPr>
            <a:t>Nelson, Barry. (2013). Foundations and Methods of Stochastic Simulation: A First Course. 10.1007/978-1-4614-6160-9.  </a:t>
          </a:r>
        </a:p>
        <a:p>
          <a:pPr marL="171450" indent="-171450" algn="l">
            <a:buFont typeface="Arial" panose="020B0604020202020204" pitchFamily="34" charset="0"/>
            <a:buChar char="•"/>
          </a:pPr>
          <a:r>
            <a:rPr lang="en-GB" sz="1200" b="0" i="0">
              <a:solidFill>
                <a:schemeClr val="dk1"/>
              </a:solidFill>
              <a:effectLst/>
              <a:latin typeface="Segoe UI" panose="020B0502040204020203" pitchFamily="34" charset="0"/>
              <a:ea typeface="+mn-ea"/>
              <a:cs typeface="Segoe UI" panose="020B0502040204020203" pitchFamily="34" charset="0"/>
            </a:rPr>
            <a:t>Robinson, S. (2014). Discrete-event simulation: A primer. In Discrete-Event Simulation and System Dynamics for Management Decision Making (eds S. Brailsford, L. Churilov and B. Dangerfield). </a:t>
          </a:r>
          <a:r>
            <a:rPr lang="en-GB" sz="1200" b="0" i="0" u="none" strike="noStrike">
              <a:solidFill>
                <a:schemeClr val="dk1"/>
              </a:solidFill>
              <a:effectLst/>
              <a:latin typeface="Segoe UI" panose="020B0502040204020203" pitchFamily="34" charset="0"/>
              <a:ea typeface="+mn-ea"/>
              <a:cs typeface="Segoe UI" panose="020B0502040204020203" pitchFamily="34" charset="0"/>
              <a:hlinkClick xmlns:r="http://schemas.openxmlformats.org/officeDocument/2006/relationships" r:id=""/>
            </a:rPr>
            <a:t>https://doi.org/10.1002/9781118762745.ch02</a:t>
          </a:r>
          <a:endParaRPr lang="en-GB" sz="1200" b="0" i="0">
            <a:solidFill>
              <a:schemeClr val="dk1"/>
            </a:solidFill>
            <a:effectLst/>
            <a:latin typeface="Segoe UI" panose="020B0502040204020203" pitchFamily="34" charset="0"/>
            <a:ea typeface="+mn-ea"/>
            <a:cs typeface="Segoe UI" panose="020B0502040204020203" pitchFamily="34" charset="0"/>
          </a:endParaRPr>
        </a:p>
        <a:p>
          <a:pPr marL="171450" indent="-171450" algn="l">
            <a:buFont typeface="Arial" panose="020B0604020202020204" pitchFamily="34" charset="0"/>
            <a:buChar char="•"/>
          </a:pPr>
          <a:r>
            <a:rPr lang="en-GB" sz="1200" b="0" i="0">
              <a:solidFill>
                <a:schemeClr val="dk1"/>
              </a:solidFill>
              <a:effectLst/>
              <a:latin typeface="Segoe UI" panose="020B0502040204020203" pitchFamily="34" charset="0"/>
              <a:ea typeface="+mn-ea"/>
              <a:cs typeface="Segoe UI" panose="020B0502040204020203" pitchFamily="34" charset="0"/>
            </a:rPr>
            <a:t>Monks, T., Currie, C. S. M., Onggo, B. S., Robinson, S., Kunc, M., &amp; Taylor, S. J. E. (2018). Strengthening the reporting of empirical simulation studies: Introducing the STRESS guidelines. </a:t>
          </a:r>
          <a:r>
            <a:rPr lang="en-GB" sz="1200" b="0" i="1">
              <a:solidFill>
                <a:schemeClr val="dk1"/>
              </a:solidFill>
              <a:effectLst/>
              <a:latin typeface="Segoe UI" panose="020B0502040204020203" pitchFamily="34" charset="0"/>
              <a:ea typeface="+mn-ea"/>
              <a:cs typeface="Segoe UI" panose="020B0502040204020203" pitchFamily="34" charset="0"/>
            </a:rPr>
            <a:t>Journal of Simulation</a:t>
          </a:r>
          <a:r>
            <a:rPr lang="en-GB" sz="1200" b="0" i="0">
              <a:solidFill>
                <a:schemeClr val="dk1"/>
              </a:solidFill>
              <a:effectLst/>
              <a:latin typeface="Segoe UI" panose="020B0502040204020203" pitchFamily="34" charset="0"/>
              <a:ea typeface="+mn-ea"/>
              <a:cs typeface="Segoe UI" panose="020B0502040204020203" pitchFamily="34" charset="0"/>
            </a:rPr>
            <a:t>, </a:t>
          </a:r>
          <a:r>
            <a:rPr lang="en-GB" sz="1200" b="0" i="1">
              <a:solidFill>
                <a:schemeClr val="dk1"/>
              </a:solidFill>
              <a:effectLst/>
              <a:latin typeface="Segoe UI" panose="020B0502040204020203" pitchFamily="34" charset="0"/>
              <a:ea typeface="+mn-ea"/>
              <a:cs typeface="Segoe UI" panose="020B0502040204020203" pitchFamily="34" charset="0"/>
            </a:rPr>
            <a:t>13</a:t>
          </a:r>
          <a:r>
            <a:rPr lang="en-GB" sz="1200" b="0" i="0">
              <a:solidFill>
                <a:schemeClr val="dk1"/>
              </a:solidFill>
              <a:effectLst/>
              <a:latin typeface="Segoe UI" panose="020B0502040204020203" pitchFamily="34" charset="0"/>
              <a:ea typeface="+mn-ea"/>
              <a:cs typeface="Segoe UI" panose="020B0502040204020203" pitchFamily="34" charset="0"/>
            </a:rPr>
            <a:t>(1), 55–67. https://doi.org/10.1080/17477778.2018.1442155</a:t>
          </a:r>
        </a:p>
        <a:p>
          <a:pPr marL="171450" indent="-171450" algn="l">
            <a:buFont typeface="Arial" panose="020B0604020202020204" pitchFamily="34" charset="0"/>
            <a:buChar char="•"/>
          </a:pPr>
          <a:endParaRPr lang="en-GB" sz="1200" b="1" baseline="0">
            <a:solidFill>
              <a:schemeClr val="tx1"/>
            </a:solidFill>
            <a:latin typeface="Segoe UI" panose="020B0502040204020203" pitchFamily="34" charset="0"/>
            <a:cs typeface="Segoe UI" panose="020B0502040204020203" pitchFamily="34" charset="0"/>
          </a:endParaRPr>
        </a:p>
        <a:p>
          <a:pPr algn="l"/>
          <a:r>
            <a:rPr lang="en-GB" sz="1200" b="1" baseline="0">
              <a:solidFill>
                <a:schemeClr val="tx1"/>
              </a:solidFill>
              <a:latin typeface="Segoe UI" panose="020B0502040204020203" pitchFamily="34" charset="0"/>
              <a:cs typeface="Segoe UI" panose="020B0502040204020203" pitchFamily="34" charset="0"/>
            </a:rPr>
            <a:t>Economic modelling references: </a:t>
          </a:r>
        </a:p>
        <a:p>
          <a:pPr marL="171450" indent="-171450" algn="l">
            <a:buFont typeface="Arial" panose="020B0604020202020204" pitchFamily="34" charset="0"/>
            <a:buChar char="•"/>
          </a:pPr>
          <a:r>
            <a:rPr lang="en-GB" sz="1200" b="0" baseline="0">
              <a:solidFill>
                <a:schemeClr val="tx1"/>
              </a:solidFill>
              <a:latin typeface="Segoe UI" panose="020B0502040204020203" pitchFamily="34" charset="0"/>
              <a:cs typeface="Segoe UI" panose="020B0502040204020203" pitchFamily="34" charset="0"/>
            </a:rPr>
            <a:t>Hill H, Fotheringham J, Potts J, Solis-Trapala I, Lambie M, Damery S, Allen K, Wailoo A, Williams I, Davies S. The Cost-Effectiveness of Initiating Patients on Home Dialysis Compared with In-Centre Haemodialysis. Appl Health Econ Health Policy. 2025 May 25. doi: 10.1007/s40258-025-00976-7. Epub ahead of print. PMID: 40413708.</a:t>
          </a:r>
        </a:p>
        <a:p>
          <a:pPr algn="l"/>
          <a:r>
            <a:rPr lang="en-GB" sz="1200" b="0">
              <a:solidFill>
                <a:schemeClr val="tx1"/>
              </a:solidFill>
              <a:latin typeface="Segoe UI" panose="020B0502040204020203" pitchFamily="34" charset="0"/>
              <a:cs typeface="Segoe UI" panose="020B0502040204020203" pitchFamily="34" charset="0"/>
            </a:rPr>
            <a:t> </a:t>
          </a:r>
        </a:p>
        <a:p>
          <a:pPr algn="l"/>
          <a:endParaRPr lang="en-GB" sz="1200" b="0">
            <a:solidFill>
              <a:schemeClr val="tx1"/>
            </a:solidFill>
            <a:latin typeface="Segoe UI" panose="020B0502040204020203" pitchFamily="34" charset="0"/>
            <a:cs typeface="Segoe UI" panose="020B0502040204020203" pitchFamily="34" charset="0"/>
          </a:endParaRPr>
        </a:p>
      </xdr:txBody>
    </xdr:sp>
    <xdr:clientData/>
  </xdr:twoCellAnchor>
  <xdr:twoCellAnchor>
    <xdr:from>
      <xdr:col>2</xdr:col>
      <xdr:colOff>59267</xdr:colOff>
      <xdr:row>5</xdr:row>
      <xdr:rowOff>25400</xdr:rowOff>
    </xdr:from>
    <xdr:to>
      <xdr:col>22</xdr:col>
      <xdr:colOff>541866</xdr:colOff>
      <xdr:row>8</xdr:row>
      <xdr:rowOff>84667</xdr:rowOff>
    </xdr:to>
    <xdr:sp macro="" textlink="">
      <xdr:nvSpPr>
        <xdr:cNvPr id="6" name="Rectangle: Rounded Corners 5">
          <a:extLst>
            <a:ext uri="{FF2B5EF4-FFF2-40B4-BE49-F238E27FC236}">
              <a16:creationId xmlns:a16="http://schemas.microsoft.com/office/drawing/2014/main" id="{17FC051D-9E0C-47E0-89A2-DA91501E6A50}"/>
            </a:ext>
          </a:extLst>
        </xdr:cNvPr>
        <xdr:cNvSpPr/>
      </xdr:nvSpPr>
      <xdr:spPr>
        <a:xfrm>
          <a:off x="1388957" y="1069340"/>
          <a:ext cx="13823314" cy="693632"/>
        </a:xfrm>
        <a:prstGeom prst="roundRect">
          <a:avLst>
            <a:gd name="adj" fmla="val 6911"/>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GB" sz="1200" b="1">
              <a:latin typeface="Segoe UI" panose="020B0502040204020203" pitchFamily="34" charset="0"/>
              <a:cs typeface="Segoe UI" panose="020B0502040204020203" pitchFamily="34" charset="0"/>
            </a:rPr>
            <a:t>This tab</a:t>
          </a:r>
          <a:r>
            <a:rPr lang="en-GB" sz="1200" b="1" baseline="0">
              <a:latin typeface="Segoe UI" panose="020B0502040204020203" pitchFamily="34" charset="0"/>
              <a:cs typeface="Segoe UI" panose="020B0502040204020203" pitchFamily="34" charset="0"/>
            </a:rPr>
            <a:t> info / directions:</a:t>
          </a:r>
        </a:p>
        <a:p>
          <a:pPr algn="l"/>
          <a:r>
            <a:rPr lang="en-GB" sz="1200" b="0" baseline="0">
              <a:latin typeface="Segoe UI" panose="020B0502040204020203" pitchFamily="34" charset="0"/>
              <a:cs typeface="Segoe UI" panose="020B0502040204020203" pitchFamily="34" charset="0"/>
            </a:rPr>
            <a:t>The following provides a list of sources we have used within the modelling exercise.</a:t>
          </a:r>
          <a:endParaRPr lang="en-GB" sz="1200" b="0">
            <a:latin typeface="Segoe UI" panose="020B0502040204020203" pitchFamily="34" charset="0"/>
            <a:cs typeface="Segoe UI" panose="020B0502040204020203" pitchFamily="34"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ucy.Morgan\Desktop\Renal%20Modelling\simPy%20model\renal-capacity-model\data\Renal_Modelling_Input_File%20-%20Midlands.xlsx" TargetMode="External"/><Relationship Id="rId1" Type="http://schemas.openxmlformats.org/officeDocument/2006/relationships/externalLinkPath" Target="Renal_Modelling_Input_File%20-%20Midlan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
      <sheetName val="Background"/>
      <sheetName val="DES Pathway Map"/>
      <sheetName val="Costing Map"/>
      <sheetName val="Scenario Inputs"/>
      <sheetName val="Settings"/>
      <sheetName val="Cost Inputs"/>
      <sheetName val="Methods Overview"/>
      <sheetName val="References"/>
      <sheetName val="simPy_sheet"/>
      <sheetName val="age_dist_all_models"/>
      <sheetName val="daily_rate_profiles_all_models"/>
      <sheetName val="tw_tx_all_models"/>
      <sheetName val="tw_tx"/>
      <sheetName val="Inputs Graph Data"/>
      <sheetName val="Hide Selection Settings"/>
      <sheetName val="Model Interface"/>
      <sheetName val="Model Indexing"/>
      <sheetName val="Prev_Pop_Initialisation"/>
      <sheetName val="Prev_Pop_all_models"/>
      <sheetName val="prevalent_population"/>
      <sheetName val="prevalent_population_all_models"/>
      <sheetName val="age_dist"/>
      <sheetName val="ethnicity_dist_all_models"/>
      <sheetName val="referral_dist"/>
      <sheetName val="referral_dist_all_models"/>
      <sheetName val="daily_rate"/>
      <sheetName val="divertToCC"/>
      <sheetName val="suitableForTx"/>
      <sheetName val="CKD baseline inputs"/>
      <sheetName val="suitableForTx_all_models"/>
      <sheetName val="preE_Tx_Cadav"/>
      <sheetName val="preE_Tx_Cadav_all_models"/>
      <sheetName val="preE_Tx_Live"/>
      <sheetName val="preE_Tx_Live_all_models"/>
      <sheetName val="modAllocation"/>
      <sheetName val="modAllocation_all_models"/>
      <sheetName val="TxType"/>
      <sheetName val="TxType_all_models"/>
      <sheetName val="receivesTx"/>
      <sheetName val="receivesTx_all_models"/>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34">
          <cell r="B34" t="str">
            <v>England</v>
          </cell>
          <cell r="C34" t="str">
            <v>Midlands</v>
          </cell>
          <cell r="D34" t="str">
            <v>Bham</v>
          </cell>
          <cell r="E34" t="str">
            <v>Covnt</v>
          </cell>
          <cell r="F34" t="str">
            <v>Derby</v>
          </cell>
          <cell r="G34" t="str">
            <v>Dudley</v>
          </cell>
          <cell r="H34" t="str">
            <v>Leic</v>
          </cell>
          <cell r="I34" t="str">
            <v>Nottm</v>
          </cell>
          <cell r="J34" t="str">
            <v>Shrew</v>
          </cell>
          <cell r="K34" t="str">
            <v>Stoke</v>
          </cell>
          <cell r="L34" t="str">
            <v>Wolve</v>
          </cell>
        </row>
        <row r="35">
          <cell r="B35">
            <v>0.35242905000000002</v>
          </cell>
          <cell r="C35">
            <v>0.34517904999999999</v>
          </cell>
          <cell r="D35">
            <v>0.33557694999999998</v>
          </cell>
          <cell r="E35">
            <v>0.32578165000000003</v>
          </cell>
          <cell r="F35">
            <v>0.21831230000000001</v>
          </cell>
          <cell r="G35">
            <v>0.17387085000000002</v>
          </cell>
          <cell r="H35">
            <v>0.42774325000000002</v>
          </cell>
          <cell r="I35">
            <v>0.42358220000000002</v>
          </cell>
          <cell r="J35">
            <v>0.18815015000000002</v>
          </cell>
          <cell r="K35">
            <v>0.25493874999999999</v>
          </cell>
          <cell r="L35">
            <v>0.19691075</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persons/person.xml><?xml version="1.0" encoding="utf-8"?>
<personList xmlns="http://schemas.microsoft.com/office/spreadsheetml/2018/threadedcomments" xmlns:x="http://schemas.openxmlformats.org/spreadsheetml/2006/main">
  <person displayName="Lucy Morgan (Strategy Unit, hosted by ML)" id="{1A249F06-EDDD-42AB-8413-B80F61FA87C3}" userId="S::Lucy.Morgan@mlcsu.nhs.uk::e5e54b71-cf62-4ad2-985a-344b32ab181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9" dT="2025-10-31T13:45:27.29" personId="{1A249F06-EDDD-42AB-8413-B80F61FA87C3}" id="{92C4A40B-0314-4B28-A760-677521E4EC24}">
    <text>The “none” bit of this distribution can change over time. But the others are fixed. The “none” bit is controlled by the hhd and pd interventions</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11604-B857-4D93-8441-C0252091E42E}">
  <sheetPr codeName="Sheet2">
    <tabColor rgb="FFEC6555"/>
  </sheetPr>
  <dimension ref="A1"/>
  <sheetViews>
    <sheetView topLeftCell="A25" zoomScale="115" zoomScaleNormal="115" workbookViewId="0">
      <selection activeCell="K27" sqref="K27"/>
    </sheetView>
  </sheetViews>
  <sheetFormatPr defaultColWidth="9.6640625" defaultRowHeight="16.8"/>
  <cols>
    <col min="1" max="16384" width="9.6640625" style="6"/>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188F8-01D1-4690-BBDA-53208FB1E491}">
  <sheetPr codeName="Sheet3">
    <tabColor theme="2" tint="-0.249977111117893"/>
  </sheetPr>
  <dimension ref="A1"/>
  <sheetViews>
    <sheetView zoomScale="115" zoomScaleNormal="115" workbookViewId="0">
      <selection activeCell="AB37" sqref="AB37"/>
    </sheetView>
  </sheetViews>
  <sheetFormatPr defaultColWidth="9.6640625" defaultRowHeight="16.8"/>
  <cols>
    <col min="1" max="16384" width="9.6640625" style="6"/>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BBF00-3E62-4713-AA95-60AEB4F0C571}">
  <sheetPr codeName="Sheet4">
    <tabColor theme="2" tint="-0.249977111117893"/>
  </sheetPr>
  <dimension ref="A1"/>
  <sheetViews>
    <sheetView zoomScale="115" zoomScaleNormal="115" workbookViewId="0">
      <selection activeCell="F29" sqref="F29"/>
    </sheetView>
  </sheetViews>
  <sheetFormatPr defaultColWidth="9.6640625" defaultRowHeight="16.8"/>
  <cols>
    <col min="1" max="16384" width="9.6640625" style="6"/>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A2F8B-A144-4C01-AEEA-A783D6E5408F}">
  <sheetPr codeName="Sheet5">
    <tabColor theme="1" tint="0.499984740745262"/>
  </sheetPr>
  <dimension ref="A1"/>
  <sheetViews>
    <sheetView zoomScaleNormal="100" workbookViewId="0">
      <selection activeCell="X26" sqref="X26"/>
    </sheetView>
  </sheetViews>
  <sheetFormatPr defaultColWidth="9.6640625" defaultRowHeight="16.8"/>
  <cols>
    <col min="1" max="16384" width="9.664062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7E59E-29EB-43FF-8DF5-16CA4A7CA4E7}">
  <sheetPr codeName="Sheet6">
    <tabColor theme="2" tint="-0.249977111117893"/>
  </sheetPr>
  <dimension ref="A1"/>
  <sheetViews>
    <sheetView zoomScale="115" zoomScaleNormal="115" workbookViewId="0">
      <selection activeCell="Q29" sqref="Q29"/>
    </sheetView>
  </sheetViews>
  <sheetFormatPr defaultColWidth="9.6640625" defaultRowHeight="16.8"/>
  <cols>
    <col min="1" max="16384" width="9.6640625" style="6"/>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76E31-EDFE-4A9A-8976-A41AA454B2B2}">
  <sheetPr codeName="Sheet8">
    <tabColor theme="8" tint="0.39997558519241921"/>
  </sheetPr>
  <dimension ref="A2:AV257"/>
  <sheetViews>
    <sheetView topLeftCell="A91" zoomScale="55" zoomScaleNormal="55" workbookViewId="0">
      <selection activeCell="M134" sqref="M134"/>
    </sheetView>
  </sheetViews>
  <sheetFormatPr defaultRowHeight="14.4"/>
  <cols>
    <col min="1" max="1" width="52.33203125" bestFit="1" customWidth="1"/>
    <col min="2" max="2" width="24.6640625" customWidth="1"/>
    <col min="3" max="3" width="18" bestFit="1" customWidth="1"/>
    <col min="4" max="4" width="8.6640625" customWidth="1"/>
    <col min="5" max="15" width="11.33203125" bestFit="1" customWidth="1"/>
    <col min="16" max="16" width="26" bestFit="1" customWidth="1"/>
    <col min="18" max="18" width="30.33203125" customWidth="1"/>
  </cols>
  <sheetData>
    <row r="2" spans="1:16">
      <c r="A2" t="s">
        <v>78</v>
      </c>
      <c r="B2" s="2">
        <f>('Scenario Inputs'!R23-'Scenario Inputs'!R21)*365 + 365</f>
        <v>4745</v>
      </c>
      <c r="C2" t="s">
        <v>79</v>
      </c>
      <c r="D2" t="s">
        <v>4</v>
      </c>
      <c r="E2" s="2" t="str">
        <f>'Scenario Inputs'!F20</f>
        <v>Fictional Region</v>
      </c>
      <c r="F2" t="s">
        <v>5</v>
      </c>
      <c r="G2" s="2" t="str">
        <f>'Scenario Inputs'!F21</f>
        <v>Fictional Centre</v>
      </c>
      <c r="P2" s="56" t="s">
        <v>133</v>
      </c>
    </row>
    <row r="3" spans="1:16">
      <c r="P3" s="47" t="s">
        <v>138</v>
      </c>
    </row>
    <row r="4" spans="1:16" ht="15">
      <c r="A4" s="13"/>
      <c r="B4">
        <v>1</v>
      </c>
      <c r="C4">
        <v>2</v>
      </c>
      <c r="D4">
        <v>3</v>
      </c>
      <c r="E4">
        <v>4</v>
      </c>
      <c r="F4">
        <v>5</v>
      </c>
      <c r="G4">
        <v>6</v>
      </c>
      <c r="H4">
        <v>7</v>
      </c>
      <c r="I4">
        <v>8</v>
      </c>
      <c r="J4">
        <v>9</v>
      </c>
      <c r="K4">
        <v>10</v>
      </c>
      <c r="L4">
        <v>11</v>
      </c>
      <c r="M4">
        <v>12</v>
      </c>
      <c r="N4">
        <v>13</v>
      </c>
    </row>
    <row r="5" spans="1:16" ht="15">
      <c r="A5" s="13" t="s">
        <v>9</v>
      </c>
      <c r="B5" s="2">
        <f>daily_rate!A2</f>
        <v>0.5</v>
      </c>
      <c r="C5" s="2">
        <f>daily_rate!B2</f>
        <v>0.5</v>
      </c>
      <c r="D5" s="2">
        <f>daily_rate!C2</f>
        <v>0.5</v>
      </c>
      <c r="E5" s="2">
        <f>daily_rate!D2</f>
        <v>0.5</v>
      </c>
      <c r="F5" s="2">
        <f>daily_rate!E2</f>
        <v>0.5</v>
      </c>
      <c r="G5" s="2">
        <f>daily_rate!F2</f>
        <v>0.5</v>
      </c>
      <c r="H5" s="2">
        <f>daily_rate!G2</f>
        <v>0.5</v>
      </c>
      <c r="I5" s="2">
        <f>daily_rate!H2</f>
        <v>0.5</v>
      </c>
      <c r="J5" s="2">
        <f>daily_rate!I2</f>
        <v>0.5</v>
      </c>
      <c r="K5" s="2">
        <f>daily_rate!J2</f>
        <v>0.5</v>
      </c>
      <c r="L5" s="2">
        <f>daily_rate!K2</f>
        <v>0.5</v>
      </c>
      <c r="M5" s="2">
        <f>daily_rate!L2</f>
        <v>0.5</v>
      </c>
      <c r="N5" s="2">
        <f>daily_rate!M2</f>
        <v>0.5</v>
      </c>
      <c r="O5" t="s">
        <v>134</v>
      </c>
    </row>
    <row r="6" spans="1:16">
      <c r="B6" s="2">
        <f>IF('Scenario Inputs'!I38="",daily_rate!N2,daily_rate!N2)</f>
        <v>0.5</v>
      </c>
      <c r="C6" s="2">
        <f>IF('Scenario Inputs'!J38="",daily_rate!O2,daily_rate!O2)</f>
        <v>0.5</v>
      </c>
      <c r="D6" s="2">
        <f>IF('Scenario Inputs'!K38="",daily_rate!P2,daily_rate!P2)</f>
        <v>0.5</v>
      </c>
      <c r="E6" s="2">
        <f>IF('Scenario Inputs'!L38="",daily_rate!Q2,daily_rate!Q2)</f>
        <v>0.5</v>
      </c>
      <c r="F6" s="2">
        <f>IF('Scenario Inputs'!M38="",daily_rate!R2,daily_rate!R2)</f>
        <v>0.5</v>
      </c>
      <c r="G6" s="2">
        <f>IF('Scenario Inputs'!N38="",daily_rate!S2,daily_rate!S2)</f>
        <v>0.5</v>
      </c>
      <c r="H6" s="2">
        <f>IF('Scenario Inputs'!O38="",daily_rate!T2,daily_rate!T2)</f>
        <v>0.5</v>
      </c>
      <c r="I6" s="2">
        <f>IF('Scenario Inputs'!P38="",daily_rate!U2,daily_rate!U2)</f>
        <v>0.5</v>
      </c>
      <c r="J6" s="2">
        <f>IF('Scenario Inputs'!Q38="",daily_rate!V2,daily_rate!V2)</f>
        <v>0.5</v>
      </c>
      <c r="K6" s="2">
        <f>IF('Scenario Inputs'!R38="",daily_rate!W2,daily_rate!W2)</f>
        <v>0.5</v>
      </c>
      <c r="L6" s="2">
        <f>IF('Scenario Inputs'!S38="",daily_rate!X2,daily_rate!X2)</f>
        <v>0.5</v>
      </c>
      <c r="M6" s="2">
        <f>IF('Scenario Inputs'!T38="",daily_rate!Y2,daily_rate!Y2)</f>
        <v>0.5</v>
      </c>
      <c r="N6" s="2">
        <f>IF('Scenario Inputs'!U38="",daily_rate!Z2,daily_rate!Z2)</f>
        <v>0.5</v>
      </c>
      <c r="O6" t="s">
        <v>135</v>
      </c>
    </row>
    <row r="7" spans="1:16" ht="15">
      <c r="A7" s="13" t="s">
        <v>80</v>
      </c>
      <c r="B7">
        <v>1</v>
      </c>
      <c r="C7">
        <v>2</v>
      </c>
      <c r="D7">
        <v>3</v>
      </c>
      <c r="E7">
        <v>4</v>
      </c>
      <c r="F7">
        <v>5</v>
      </c>
      <c r="G7">
        <v>6</v>
      </c>
    </row>
    <row r="8" spans="1:16">
      <c r="B8" s="2">
        <f>age_dist!B1</f>
        <v>0.05</v>
      </c>
      <c r="C8" s="2">
        <f>age_dist!B2</f>
        <v>7.0000000000000007E-2</v>
      </c>
      <c r="D8" s="2">
        <f>age_dist!B3</f>
        <v>0.12</v>
      </c>
      <c r="E8" s="2">
        <f>age_dist!B4</f>
        <v>0.2</v>
      </c>
      <c r="F8" s="2">
        <f>age_dist!B5</f>
        <v>0.25</v>
      </c>
      <c r="G8" s="2">
        <f>age_dist!B6</f>
        <v>0.31000000000000005</v>
      </c>
    </row>
    <row r="10" spans="1:16">
      <c r="A10" t="s">
        <v>81</v>
      </c>
      <c r="B10" t="s">
        <v>66</v>
      </c>
      <c r="C10" s="4" t="s">
        <v>67</v>
      </c>
    </row>
    <row r="11" spans="1:16">
      <c r="B11" s="2">
        <f>1-B12</f>
        <v>0.8</v>
      </c>
      <c r="C11" s="53">
        <f>1-C12</f>
        <v>0.8</v>
      </c>
      <c r="D11" s="2">
        <f t="shared" ref="D11:N11" si="0">1-D12</f>
        <v>0.8</v>
      </c>
      <c r="E11" s="2">
        <f t="shared" si="0"/>
        <v>0.8</v>
      </c>
      <c r="F11" s="2">
        <f t="shared" si="0"/>
        <v>0.8</v>
      </c>
      <c r="G11" s="2">
        <f t="shared" si="0"/>
        <v>0.8</v>
      </c>
      <c r="H11" s="2">
        <f t="shared" si="0"/>
        <v>0.8</v>
      </c>
      <c r="I11" s="2">
        <f t="shared" si="0"/>
        <v>0.8</v>
      </c>
      <c r="J11" s="2">
        <f t="shared" si="0"/>
        <v>0.8</v>
      </c>
      <c r="K11" s="2">
        <f t="shared" si="0"/>
        <v>0.8</v>
      </c>
      <c r="L11" s="2">
        <f t="shared" si="0"/>
        <v>0.8</v>
      </c>
      <c r="M11" s="2">
        <f t="shared" si="0"/>
        <v>0.8</v>
      </c>
      <c r="N11" s="2">
        <f t="shared" si="0"/>
        <v>0.8</v>
      </c>
    </row>
    <row r="12" spans="1:16">
      <c r="B12" s="2">
        <f>IF('Scenario Inputs'!I67="",referral_dist!$B$2,'Scenario Inputs'!I67)</f>
        <v>0.2</v>
      </c>
      <c r="C12" s="2">
        <f>IF('Scenario Inputs'!J67="",referral_dist!$B$2,'Scenario Inputs'!J67)</f>
        <v>0.2</v>
      </c>
      <c r="D12" s="2">
        <f>IF('Scenario Inputs'!K67="",referral_dist!$B$2,'Scenario Inputs'!K67)</f>
        <v>0.2</v>
      </c>
      <c r="E12" s="2">
        <f>IF('Scenario Inputs'!L67="",referral_dist!$B$2,'Scenario Inputs'!L67)</f>
        <v>0.2</v>
      </c>
      <c r="F12" s="2">
        <f>IF('Scenario Inputs'!M67="",referral_dist!$B$2,'Scenario Inputs'!M67)</f>
        <v>0.2</v>
      </c>
      <c r="G12" s="2">
        <f>IF('Scenario Inputs'!N67="",referral_dist!$B$2,'Scenario Inputs'!N67)</f>
        <v>0.2</v>
      </c>
      <c r="H12" s="2">
        <f>IF('Scenario Inputs'!O67="",referral_dist!$B$2,'Scenario Inputs'!O67)</f>
        <v>0.2</v>
      </c>
      <c r="I12" s="2">
        <f>IF('Scenario Inputs'!P67="",referral_dist!$B$2,'Scenario Inputs'!P67)</f>
        <v>0.2</v>
      </c>
      <c r="J12" s="2">
        <f>IF('Scenario Inputs'!Q67="",referral_dist!$B$2,'Scenario Inputs'!Q67)</f>
        <v>0.2</v>
      </c>
      <c r="K12" s="2">
        <f>IF('Scenario Inputs'!R67="",referral_dist!$B$2,'Scenario Inputs'!R67)</f>
        <v>0.2</v>
      </c>
      <c r="L12" s="2">
        <f>IF('Scenario Inputs'!S67="",referral_dist!$B$2,'Scenario Inputs'!S67)</f>
        <v>0.2</v>
      </c>
      <c r="M12" s="2">
        <f>IF('Scenario Inputs'!T67="",referral_dist!$B$2,'Scenario Inputs'!T67)</f>
        <v>0.2</v>
      </c>
      <c r="N12" s="2">
        <f>IF('Scenario Inputs'!U67="",referral_dist!$B$2,'Scenario Inputs'!U67)</f>
        <v>0.2</v>
      </c>
    </row>
    <row r="13" spans="1:16">
      <c r="A13" s="1" t="s">
        <v>15</v>
      </c>
      <c r="C13" s="4"/>
    </row>
    <row r="14" spans="1:16" ht="16.95" hidden="1" customHeight="1">
      <c r="B14" s="177" t="s">
        <v>82</v>
      </c>
      <c r="C14" s="177"/>
      <c r="D14" s="177"/>
      <c r="E14" s="177"/>
      <c r="F14" s="177"/>
      <c r="G14" s="177"/>
      <c r="H14" s="177"/>
      <c r="I14" s="177"/>
      <c r="J14" s="177"/>
      <c r="K14" s="177"/>
      <c r="L14" s="177"/>
      <c r="M14" s="177"/>
      <c r="N14" s="177"/>
    </row>
    <row r="15" spans="1:16" ht="14.4" hidden="1" customHeight="1">
      <c r="B15">
        <v>1</v>
      </c>
      <c r="C15">
        <v>2</v>
      </c>
      <c r="D15">
        <v>3</v>
      </c>
      <c r="E15">
        <v>4</v>
      </c>
      <c r="F15">
        <v>5</v>
      </c>
      <c r="G15">
        <v>6</v>
      </c>
      <c r="H15">
        <v>7</v>
      </c>
      <c r="I15">
        <v>8</v>
      </c>
      <c r="J15">
        <v>9</v>
      </c>
      <c r="K15">
        <v>10</v>
      </c>
      <c r="L15">
        <v>11</v>
      </c>
      <c r="M15">
        <v>12</v>
      </c>
      <c r="N15">
        <v>13</v>
      </c>
    </row>
    <row r="16" spans="1:16" ht="14.4" hidden="1" customHeight="1">
      <c r="A16" t="s">
        <v>74</v>
      </c>
      <c r="B16">
        <f>IF('Scenario Inputs'!I49="",IncHHD,'Scenario Inputs'!I49)</f>
        <v>0.1891891891891892</v>
      </c>
      <c r="C16">
        <f>IF('Scenario Inputs'!J49="",IncHHD,'Scenario Inputs'!J49)</f>
        <v>0.1891891891891892</v>
      </c>
      <c r="D16">
        <f>IF('Scenario Inputs'!K49="",IncHHD,'Scenario Inputs'!K49)</f>
        <v>0.1891891891891892</v>
      </c>
      <c r="E16">
        <f>IF('Scenario Inputs'!L49="",IncHHD,'Scenario Inputs'!L49)</f>
        <v>0.1891891891891892</v>
      </c>
      <c r="F16">
        <f>IF('Scenario Inputs'!M49="",IncHHD,'Scenario Inputs'!M49)</f>
        <v>0.1891891891891892</v>
      </c>
      <c r="G16">
        <f>IF('Scenario Inputs'!N49="",IncHHD,'Scenario Inputs'!N49)</f>
        <v>0.1891891891891892</v>
      </c>
      <c r="H16">
        <f>IF('Scenario Inputs'!O49="",IncHHD,'Scenario Inputs'!O49)</f>
        <v>0.1891891891891892</v>
      </c>
      <c r="I16">
        <f>IF('Scenario Inputs'!P49="",IncHHD,'Scenario Inputs'!P49)</f>
        <v>0.1891891891891892</v>
      </c>
      <c r="J16">
        <f>IF('Scenario Inputs'!Q49="",IncHHD,'Scenario Inputs'!Q49)</f>
        <v>0.1891891891891892</v>
      </c>
      <c r="K16">
        <f>IF('Scenario Inputs'!R49="",IncHHD,'Scenario Inputs'!R49)</f>
        <v>0.1891891891891892</v>
      </c>
      <c r="L16">
        <f>IF('Scenario Inputs'!S49="",IncHHD,'Scenario Inputs'!S49)</f>
        <v>0.1891891891891892</v>
      </c>
      <c r="M16">
        <f>IF('Scenario Inputs'!T49="",IncHHD,'Scenario Inputs'!T49)</f>
        <v>0.1891891891891892</v>
      </c>
      <c r="N16">
        <f>IF('Scenario Inputs'!U49="",IncHHD,'Scenario Inputs'!U49)</f>
        <v>0.1891891891891892</v>
      </c>
    </row>
    <row r="17" spans="1:15" ht="14.4" hidden="1" customHeight="1">
      <c r="A17" t="s">
        <v>75</v>
      </c>
      <c r="B17" cm="1">
        <f t="array" ref="B17">IF('Scenario Inputs'!I52="",IncPD,'Scenario Inputs'!I52)</f>
        <v>0.28999999999999998</v>
      </c>
      <c r="C17" cm="1">
        <f t="array" ref="C17">IF('Scenario Inputs'!J52="",IncPD,'Scenario Inputs'!J52)</f>
        <v>0.28999999999999998</v>
      </c>
      <c r="D17" cm="1">
        <f t="array" ref="D17">IF('Scenario Inputs'!K52="",IncPD,'Scenario Inputs'!K52)</f>
        <v>0.28999999999999998</v>
      </c>
      <c r="E17" cm="1">
        <f t="array" ref="E17">IF('Scenario Inputs'!L52="",IncPD,'Scenario Inputs'!L52)</f>
        <v>0.28999999999999998</v>
      </c>
      <c r="F17" cm="1">
        <f t="array" ref="F17">IF('Scenario Inputs'!M52="",IncPD,'Scenario Inputs'!M52)</f>
        <v>0.28999999999999998</v>
      </c>
      <c r="G17" cm="1">
        <f t="array" ref="G17">IF('Scenario Inputs'!N52="",IncPD,'Scenario Inputs'!N52)</f>
        <v>0.28999999999999998</v>
      </c>
      <c r="H17" cm="1">
        <f t="array" ref="H17">IF('Scenario Inputs'!O52="",IncPD,'Scenario Inputs'!O52)</f>
        <v>0.28999999999999998</v>
      </c>
      <c r="I17" cm="1">
        <f t="array" ref="I17">IF('Scenario Inputs'!P52="",IncPD,'Scenario Inputs'!P52)</f>
        <v>0.28999999999999998</v>
      </c>
      <c r="J17" cm="1">
        <f t="array" ref="J17">IF('Scenario Inputs'!Q52="",IncPD,'Scenario Inputs'!Q52)</f>
        <v>0.28999999999999998</v>
      </c>
      <c r="K17" cm="1">
        <f t="array" ref="K17">IF('Scenario Inputs'!R52="",IncPD,'Scenario Inputs'!R52)</f>
        <v>0.28999999999999998</v>
      </c>
      <c r="L17" cm="1">
        <f t="array" ref="L17">IF('Scenario Inputs'!S52="",IncPD,'Scenario Inputs'!S52)</f>
        <v>0.28999999999999998</v>
      </c>
      <c r="M17" cm="1">
        <f t="array" ref="M17">IF('Scenario Inputs'!T52="",IncPD,'Scenario Inputs'!T52)</f>
        <v>0.28999999999999998</v>
      </c>
      <c r="N17" cm="1">
        <f t="array" ref="N17">IF('Scenario Inputs'!U52="",IncPD,'Scenario Inputs'!U52)</f>
        <v>0.28999999999999998</v>
      </c>
    </row>
    <row r="18" spans="1:15" ht="15" hidden="1" customHeight="1">
      <c r="A18" s="13"/>
    </row>
    <row r="19" spans="1:15" ht="15">
      <c r="A19" s="13"/>
      <c r="B19" s="177" t="s">
        <v>82</v>
      </c>
      <c r="C19" s="177"/>
      <c r="D19" s="177"/>
      <c r="E19" s="177"/>
      <c r="F19" s="177"/>
      <c r="G19" s="177"/>
      <c r="H19" s="177"/>
      <c r="I19" s="177"/>
      <c r="J19" s="177"/>
      <c r="K19" s="177"/>
      <c r="L19" s="177"/>
      <c r="M19" s="177"/>
      <c r="N19" s="177"/>
    </row>
    <row r="20" spans="1:15">
      <c r="B20">
        <v>1</v>
      </c>
      <c r="C20">
        <v>2</v>
      </c>
      <c r="D20">
        <v>3</v>
      </c>
      <c r="E20">
        <v>4</v>
      </c>
      <c r="F20">
        <v>5</v>
      </c>
      <c r="G20">
        <v>6</v>
      </c>
      <c r="H20">
        <v>7</v>
      </c>
      <c r="I20">
        <v>8</v>
      </c>
      <c r="J20">
        <v>9</v>
      </c>
      <c r="K20">
        <v>10</v>
      </c>
      <c r="L20">
        <v>11</v>
      </c>
      <c r="M20">
        <v>12</v>
      </c>
      <c r="N20">
        <v>13</v>
      </c>
    </row>
    <row r="21" spans="1:15">
      <c r="A21" t="s">
        <v>72</v>
      </c>
      <c r="B21" s="2">
        <f>IF('Scenario Inputs'!I61="",IncCCD1,'Scenario Inputs'!I61)</f>
        <v>0.1</v>
      </c>
      <c r="C21" s="2">
        <f>IF('Scenario Inputs'!J61="",IncCCD1,'Scenario Inputs'!J61)</f>
        <v>0.1</v>
      </c>
      <c r="D21" s="2">
        <f>IF('Scenario Inputs'!K61="",IncCCD1,'Scenario Inputs'!K61)</f>
        <v>0.1</v>
      </c>
      <c r="E21" s="2">
        <f>IF('Scenario Inputs'!L61="",IncCCD1,'Scenario Inputs'!L61)</f>
        <v>0.1</v>
      </c>
      <c r="F21" s="2">
        <f>IF('Scenario Inputs'!M61="",IncCCD1,'Scenario Inputs'!M61)</f>
        <v>0.1</v>
      </c>
      <c r="G21" s="2">
        <f>IF('Scenario Inputs'!N61="",IncCCD1,'Scenario Inputs'!N61)</f>
        <v>0.1</v>
      </c>
      <c r="H21" s="2">
        <f>IF('Scenario Inputs'!O61="",IncCCD1,'Scenario Inputs'!O61)</f>
        <v>0.1</v>
      </c>
      <c r="I21" s="2">
        <f>IF('Scenario Inputs'!P61="",IncCCD1,'Scenario Inputs'!P61)</f>
        <v>0.1</v>
      </c>
      <c r="J21" s="2">
        <f>IF('Scenario Inputs'!Q61="",IncCCD1,'Scenario Inputs'!Q61)</f>
        <v>0.1</v>
      </c>
      <c r="K21" s="2">
        <f>IF('Scenario Inputs'!R61="",IncCCD1,'Scenario Inputs'!R61)</f>
        <v>0.1</v>
      </c>
      <c r="L21" s="2">
        <f>IF('Scenario Inputs'!S61="",IncCCD1,'Scenario Inputs'!S61)</f>
        <v>0.1</v>
      </c>
      <c r="M21" s="2">
        <f>IF('Scenario Inputs'!T61="",IncCCD1,'Scenario Inputs'!T61)</f>
        <v>0.1</v>
      </c>
      <c r="N21" s="2">
        <f>IF('Scenario Inputs'!U61="",IncCCD1,'Scenario Inputs'!U61)</f>
        <v>0.1</v>
      </c>
    </row>
    <row r="22" spans="1:15">
      <c r="B22" s="2">
        <f>IF('Scenario Inputs'!I62="",IncCCD2,'Scenario Inputs'!I62)</f>
        <v>0.1</v>
      </c>
      <c r="C22" s="2">
        <f>IF('Scenario Inputs'!J62="",IncCCD2,'Scenario Inputs'!J62)</f>
        <v>0.1</v>
      </c>
      <c r="D22" s="2">
        <f>IF('Scenario Inputs'!K62="",IncCCD2,'Scenario Inputs'!K62)</f>
        <v>0.1</v>
      </c>
      <c r="E22" s="2">
        <f>IF('Scenario Inputs'!L62="",IncCCD2,'Scenario Inputs'!L62)</f>
        <v>0.1</v>
      </c>
      <c r="F22" s="2">
        <f>IF('Scenario Inputs'!M62="",IncCCD2,'Scenario Inputs'!M62)</f>
        <v>0.1</v>
      </c>
      <c r="G22" s="2">
        <f>IF('Scenario Inputs'!N62="",IncCCD2,'Scenario Inputs'!N62)</f>
        <v>0.1</v>
      </c>
      <c r="H22" s="2">
        <f>IF('Scenario Inputs'!O62="",IncCCD2,'Scenario Inputs'!O62)</f>
        <v>0.1</v>
      </c>
      <c r="I22" s="2">
        <f>IF('Scenario Inputs'!P62="",IncCCD2,'Scenario Inputs'!P62)</f>
        <v>0.1</v>
      </c>
      <c r="J22" s="2">
        <f>IF('Scenario Inputs'!Q62="",IncCCD2,'Scenario Inputs'!Q62)</f>
        <v>0.1</v>
      </c>
      <c r="K22" s="2">
        <f>IF('Scenario Inputs'!R62="",IncCCD2,'Scenario Inputs'!R62)</f>
        <v>0.1</v>
      </c>
      <c r="L22" s="2">
        <f>IF('Scenario Inputs'!S62="",IncCCD2,'Scenario Inputs'!S62)</f>
        <v>0.1</v>
      </c>
      <c r="M22" s="2">
        <f>IF('Scenario Inputs'!T62="",IncCCD2,'Scenario Inputs'!T62)</f>
        <v>0.1</v>
      </c>
      <c r="N22" s="2">
        <f>IF('Scenario Inputs'!U62="",IncCCD2,'Scenario Inputs'!U62)</f>
        <v>0.1</v>
      </c>
    </row>
    <row r="23" spans="1:15">
      <c r="B23" s="2">
        <f>IF('Scenario Inputs'!I63="",IncCCD3,'Scenario Inputs'!I63)</f>
        <v>0.1</v>
      </c>
      <c r="C23" s="2">
        <f>IF('Scenario Inputs'!J63="",IncCCD3,'Scenario Inputs'!J63)</f>
        <v>0.1</v>
      </c>
      <c r="D23" s="2">
        <f>IF('Scenario Inputs'!K63="",IncCCD3,'Scenario Inputs'!K63)</f>
        <v>0.1</v>
      </c>
      <c r="E23" s="2">
        <f>IF('Scenario Inputs'!L63="",IncCCD3,'Scenario Inputs'!L63)</f>
        <v>0.1</v>
      </c>
      <c r="F23" s="2">
        <f>IF('Scenario Inputs'!M63="",IncCCD3,'Scenario Inputs'!M63)</f>
        <v>0.1</v>
      </c>
      <c r="G23" s="2">
        <f>IF('Scenario Inputs'!N63="",IncCCD3,'Scenario Inputs'!N63)</f>
        <v>0.1</v>
      </c>
      <c r="H23" s="2">
        <f>IF('Scenario Inputs'!O63="",IncCCD3,'Scenario Inputs'!O63)</f>
        <v>0.1</v>
      </c>
      <c r="I23" s="2">
        <f>IF('Scenario Inputs'!P63="",IncCCD3,'Scenario Inputs'!P63)</f>
        <v>0.1</v>
      </c>
      <c r="J23" s="2">
        <f>IF('Scenario Inputs'!Q63="",IncCCD3,'Scenario Inputs'!Q63)</f>
        <v>0.1</v>
      </c>
      <c r="K23" s="2">
        <f>IF('Scenario Inputs'!R63="",IncCCD3,'Scenario Inputs'!R63)</f>
        <v>0.1</v>
      </c>
      <c r="L23" s="2">
        <f>IF('Scenario Inputs'!S63="",IncCCD3,'Scenario Inputs'!S63)</f>
        <v>0.1</v>
      </c>
      <c r="M23" s="2">
        <f>IF('Scenario Inputs'!T63="",IncCCD3,'Scenario Inputs'!T63)</f>
        <v>0.1</v>
      </c>
      <c r="N23" s="2">
        <f>IF('Scenario Inputs'!U63="",IncCCD3,'Scenario Inputs'!U63)</f>
        <v>0.1</v>
      </c>
    </row>
    <row r="24" spans="1:15">
      <c r="B24" s="2">
        <f>IF('Scenario Inputs'!I64="",IncCCD4,'Scenario Inputs'!I64)</f>
        <v>0.1</v>
      </c>
      <c r="C24" s="2">
        <f>IF('Scenario Inputs'!J64="",IncCCD4,'Scenario Inputs'!J64)</f>
        <v>0.1</v>
      </c>
      <c r="D24" s="2">
        <f>IF('Scenario Inputs'!K64="",IncCCD4,'Scenario Inputs'!K64)</f>
        <v>0.1</v>
      </c>
      <c r="E24" s="2">
        <f>IF('Scenario Inputs'!L64="",IncCCD4,'Scenario Inputs'!L64)</f>
        <v>0.1</v>
      </c>
      <c r="F24" s="2">
        <f>IF('Scenario Inputs'!M64="",IncCCD4,'Scenario Inputs'!M64)</f>
        <v>0.1</v>
      </c>
      <c r="G24" s="2">
        <f>IF('Scenario Inputs'!N64="",IncCCD4,'Scenario Inputs'!N64)</f>
        <v>0.1</v>
      </c>
      <c r="H24" s="2">
        <f>IF('Scenario Inputs'!O64="",IncCCD4,'Scenario Inputs'!O64)</f>
        <v>0.1</v>
      </c>
      <c r="I24" s="2">
        <f>IF('Scenario Inputs'!P64="",IncCCD4,'Scenario Inputs'!P64)</f>
        <v>0.1</v>
      </c>
      <c r="J24" s="2">
        <f>IF('Scenario Inputs'!Q64="",IncCCD4,'Scenario Inputs'!Q64)</f>
        <v>0.1</v>
      </c>
      <c r="K24" s="2">
        <f>IF('Scenario Inputs'!R64="",IncCCD4,'Scenario Inputs'!R64)</f>
        <v>0.1</v>
      </c>
      <c r="L24" s="2">
        <f>IF('Scenario Inputs'!S64="",IncCCD4,'Scenario Inputs'!S64)</f>
        <v>0.1</v>
      </c>
      <c r="M24" s="2">
        <f>IF('Scenario Inputs'!T64="",IncCCD4,'Scenario Inputs'!T64)</f>
        <v>0.1</v>
      </c>
      <c r="N24" s="2">
        <f>IF('Scenario Inputs'!U64="",IncCCD4,'Scenario Inputs'!U64)</f>
        <v>0.1</v>
      </c>
    </row>
    <row r="25" spans="1:15">
      <c r="B25" s="2">
        <f>IF('Scenario Inputs'!I65="",IncCCD5,'Scenario Inputs'!I65)</f>
        <v>0.25</v>
      </c>
      <c r="C25" s="2">
        <f>IF('Scenario Inputs'!J65="",IncCCD5,'Scenario Inputs'!J65)</f>
        <v>0.25</v>
      </c>
      <c r="D25" s="2">
        <f>IF('Scenario Inputs'!K65="",IncCCD5,'Scenario Inputs'!K65)</f>
        <v>0.25</v>
      </c>
      <c r="E25" s="2">
        <f>IF('Scenario Inputs'!L65="",IncCCD5,'Scenario Inputs'!L65)</f>
        <v>0.25</v>
      </c>
      <c r="F25" s="2">
        <f>IF('Scenario Inputs'!M65="",IncCCD5,'Scenario Inputs'!M65)</f>
        <v>0.25</v>
      </c>
      <c r="G25" s="2">
        <f>IF('Scenario Inputs'!N65="",IncCCD5,'Scenario Inputs'!N65)</f>
        <v>0.25</v>
      </c>
      <c r="H25" s="2">
        <f>IF('Scenario Inputs'!O65="",IncCCD5,'Scenario Inputs'!O65)</f>
        <v>0.25</v>
      </c>
      <c r="I25" s="2">
        <f>IF('Scenario Inputs'!P65="",IncCCD5,'Scenario Inputs'!P65)</f>
        <v>0.25</v>
      </c>
      <c r="J25" s="2">
        <f>IF('Scenario Inputs'!Q65="",IncCCD5,'Scenario Inputs'!Q65)</f>
        <v>0.25</v>
      </c>
      <c r="K25" s="2">
        <f>IF('Scenario Inputs'!R65="",IncCCD5,'Scenario Inputs'!R65)</f>
        <v>0.25</v>
      </c>
      <c r="L25" s="2">
        <f>IF('Scenario Inputs'!S65="",IncCCD5,'Scenario Inputs'!S65)</f>
        <v>0.25</v>
      </c>
      <c r="M25" s="2">
        <f>IF('Scenario Inputs'!T65="",IncCCD5,'Scenario Inputs'!T65)</f>
        <v>0.25</v>
      </c>
      <c r="N25" s="2">
        <f>IF('Scenario Inputs'!U65="",IncCCD5,'Scenario Inputs'!U65)</f>
        <v>0.25</v>
      </c>
    </row>
    <row r="26" spans="1:15">
      <c r="B26" s="2">
        <f>IF('Scenario Inputs'!I66="",IncCCD6,'Scenario Inputs'!I66)</f>
        <v>0.5</v>
      </c>
      <c r="C26" s="2">
        <f>IF('Scenario Inputs'!J66="",IncCCD6,'Scenario Inputs'!J66)</f>
        <v>0.5</v>
      </c>
      <c r="D26" s="2">
        <f>IF('Scenario Inputs'!K66="",IncCCD6,'Scenario Inputs'!K66)</f>
        <v>0.5</v>
      </c>
      <c r="E26" s="2">
        <f>IF('Scenario Inputs'!L66="",IncCCD6,'Scenario Inputs'!L66)</f>
        <v>0.5</v>
      </c>
      <c r="F26" s="2">
        <f>IF('Scenario Inputs'!M66="",IncCCD6,'Scenario Inputs'!M66)</f>
        <v>0.5</v>
      </c>
      <c r="G26" s="2">
        <f>IF('Scenario Inputs'!N66="",IncCCD6,'Scenario Inputs'!N66)</f>
        <v>0.5</v>
      </c>
      <c r="H26" s="2">
        <f>IF('Scenario Inputs'!O66="",IncCCD6,'Scenario Inputs'!O66)</f>
        <v>0.5</v>
      </c>
      <c r="I26" s="2">
        <f>IF('Scenario Inputs'!P66="",IncCCD6,'Scenario Inputs'!P66)</f>
        <v>0.5</v>
      </c>
      <c r="J26" s="2">
        <f>IF('Scenario Inputs'!Q66="",IncCCD6,'Scenario Inputs'!Q66)</f>
        <v>0.5</v>
      </c>
      <c r="K26" s="2">
        <f>IF('Scenario Inputs'!R66="",IncCCD6,'Scenario Inputs'!R66)</f>
        <v>0.5</v>
      </c>
      <c r="L26" s="2">
        <f>IF('Scenario Inputs'!S66="",IncCCD6,'Scenario Inputs'!S66)</f>
        <v>0.5</v>
      </c>
      <c r="M26" s="2">
        <f>IF('Scenario Inputs'!T66="",IncCCD6,'Scenario Inputs'!T66)</f>
        <v>0.5</v>
      </c>
      <c r="N26" s="2">
        <f>IF('Scenario Inputs'!U66="",IncCCD6,'Scenario Inputs'!U66)</f>
        <v>0.5</v>
      </c>
    </row>
    <row r="27" spans="1:15">
      <c r="A27" t="s">
        <v>73</v>
      </c>
      <c r="B27" s="54">
        <f>IF('Scenario Inputs'!I67="",IncLP,'Scenario Inputs'!I67)</f>
        <v>0.2</v>
      </c>
      <c r="C27" s="54">
        <f>IF('Scenario Inputs'!J67="",IncLP,'Scenario Inputs'!J67)</f>
        <v>0.2</v>
      </c>
      <c r="D27" s="54">
        <f>IF('Scenario Inputs'!K67="",IncLP,'Scenario Inputs'!K67)</f>
        <v>0.2</v>
      </c>
      <c r="E27" s="54">
        <f>IF('Scenario Inputs'!L67="",IncLP,'Scenario Inputs'!L67)</f>
        <v>0.2</v>
      </c>
      <c r="F27" s="54">
        <f>IF('Scenario Inputs'!M67="",IncLP,'Scenario Inputs'!M67)</f>
        <v>0.2</v>
      </c>
      <c r="G27" s="54">
        <f>IF('Scenario Inputs'!N67="",IncLP,'Scenario Inputs'!N67)</f>
        <v>0.2</v>
      </c>
      <c r="H27" s="54">
        <f>IF('Scenario Inputs'!O67="",IncLP,'Scenario Inputs'!O67)</f>
        <v>0.2</v>
      </c>
      <c r="I27" s="54">
        <f>IF('Scenario Inputs'!P67="",IncLP,'Scenario Inputs'!P67)</f>
        <v>0.2</v>
      </c>
      <c r="J27" s="54">
        <f>IF('Scenario Inputs'!Q67="",IncLP,'Scenario Inputs'!Q67)</f>
        <v>0.2</v>
      </c>
      <c r="K27" s="54">
        <f>IF('Scenario Inputs'!R67="",IncLP,'Scenario Inputs'!R67)</f>
        <v>0.2</v>
      </c>
      <c r="L27" s="54">
        <f>IF('Scenario Inputs'!S67="",IncLP,'Scenario Inputs'!S67)</f>
        <v>0.2</v>
      </c>
      <c r="M27" s="54">
        <f>IF('Scenario Inputs'!T67="",IncLP,'Scenario Inputs'!T67)</f>
        <v>0.2</v>
      </c>
      <c r="N27" s="54">
        <f>IF('Scenario Inputs'!U67="",IncLP,'Scenario Inputs'!U67)</f>
        <v>0.2</v>
      </c>
    </row>
    <row r="29" spans="1:15">
      <c r="C29" t="s">
        <v>92</v>
      </c>
    </row>
    <row r="30" spans="1:15">
      <c r="B30" t="s">
        <v>17</v>
      </c>
      <c r="C30">
        <v>1</v>
      </c>
      <c r="D30">
        <v>2</v>
      </c>
      <c r="E30">
        <v>3</v>
      </c>
      <c r="F30">
        <v>4</v>
      </c>
      <c r="G30">
        <v>5</v>
      </c>
      <c r="H30">
        <v>6</v>
      </c>
      <c r="I30">
        <v>7</v>
      </c>
      <c r="J30">
        <v>8</v>
      </c>
      <c r="K30">
        <v>9</v>
      </c>
      <c r="L30">
        <v>10</v>
      </c>
      <c r="M30">
        <v>11</v>
      </c>
      <c r="N30">
        <v>12</v>
      </c>
      <c r="O30">
        <v>13</v>
      </c>
    </row>
    <row r="33" spans="1:28">
      <c r="A33" t="s">
        <v>90</v>
      </c>
      <c r="B33" s="60">
        <f>IncPElive</f>
        <v>0.5</v>
      </c>
      <c r="C33" s="60">
        <f>IF('Scenario Inputs'!I94="",IncPElive,'Scenario Inputs'!I94)</f>
        <v>0.5</v>
      </c>
      <c r="D33" s="60">
        <f>IF('Scenario Inputs'!J94="",IncPElive,'Scenario Inputs'!J94)</f>
        <v>0.5</v>
      </c>
      <c r="E33" s="60">
        <f>IF('Scenario Inputs'!K94="",IncPElive,'Scenario Inputs'!K94)</f>
        <v>0.5</v>
      </c>
      <c r="F33" s="60">
        <f>IF('Scenario Inputs'!L94="",IncPElive,'Scenario Inputs'!L94)</f>
        <v>0.5</v>
      </c>
      <c r="G33" s="60">
        <f>IF('Scenario Inputs'!M94="",IncPElive,'Scenario Inputs'!M94)</f>
        <v>0.5</v>
      </c>
      <c r="H33" s="60">
        <f>IF('Scenario Inputs'!N94="",IncPElive,'Scenario Inputs'!N94)</f>
        <v>0.5</v>
      </c>
      <c r="I33" s="60">
        <f>IF('Scenario Inputs'!O94="",IncPElive,'Scenario Inputs'!O94)</f>
        <v>0.5</v>
      </c>
      <c r="J33" s="60">
        <f>IF('Scenario Inputs'!P94="",IncPElive,'Scenario Inputs'!P94)</f>
        <v>0.5</v>
      </c>
      <c r="K33" s="60">
        <f>IF('Scenario Inputs'!Q94="",IncPElive,'Scenario Inputs'!Q94)</f>
        <v>0.5</v>
      </c>
      <c r="L33" s="60">
        <f>IF('Scenario Inputs'!R94="",IncPElive,'Scenario Inputs'!R94)</f>
        <v>0.5</v>
      </c>
      <c r="M33" s="60">
        <f>IF('Scenario Inputs'!S94="",IncPElive,'Scenario Inputs'!S94)</f>
        <v>0.5</v>
      </c>
      <c r="N33" s="60">
        <f>IF('Scenario Inputs'!T94="",IncPElive,'Scenario Inputs'!T94)</f>
        <v>0.5</v>
      </c>
      <c r="O33" s="60">
        <f>IF('Scenario Inputs'!U94="",IncPElive,'Scenario Inputs'!U94)</f>
        <v>0.5</v>
      </c>
    </row>
    <row r="34" spans="1:28">
      <c r="A34" t="s">
        <v>91</v>
      </c>
      <c r="B34" s="60">
        <f>IncPEcad</f>
        <v>0</v>
      </c>
      <c r="C34" s="60">
        <f>IF('Scenario Inputs'!I97="",IncPEcad,'Scenario Inputs'!I97)</f>
        <v>0</v>
      </c>
      <c r="D34" s="60">
        <f>IF('Scenario Inputs'!J97="",IncPEcad,'Scenario Inputs'!J97)</f>
        <v>0</v>
      </c>
      <c r="E34" s="60">
        <f>IF('Scenario Inputs'!K97="",IncPEcad,'Scenario Inputs'!K97)</f>
        <v>0</v>
      </c>
      <c r="F34" s="60">
        <f>IF('Scenario Inputs'!L97="",IncPEcad,'Scenario Inputs'!L97)</f>
        <v>0</v>
      </c>
      <c r="G34" s="60">
        <f>IF('Scenario Inputs'!M97="",IncPEcad,'Scenario Inputs'!M97)</f>
        <v>0</v>
      </c>
      <c r="H34" s="60">
        <f>IF('Scenario Inputs'!N97="",IncPEcad,'Scenario Inputs'!N97)</f>
        <v>0</v>
      </c>
      <c r="I34" s="60">
        <f>IF('Scenario Inputs'!O97="",IncPEcad,'Scenario Inputs'!O97)</f>
        <v>0</v>
      </c>
      <c r="J34" s="60">
        <f>IF('Scenario Inputs'!P97="",IncPEcad,'Scenario Inputs'!P97)</f>
        <v>0</v>
      </c>
      <c r="K34" s="60">
        <f>IF('Scenario Inputs'!Q97="",IncPEcad,'Scenario Inputs'!Q97)</f>
        <v>0</v>
      </c>
      <c r="L34" s="60">
        <f>IF('Scenario Inputs'!R97="",IncPEcad,'Scenario Inputs'!R97)</f>
        <v>0</v>
      </c>
      <c r="M34" s="60">
        <f>IF('Scenario Inputs'!S97="",IncPEcad,'Scenario Inputs'!S97)</f>
        <v>0</v>
      </c>
      <c r="N34" s="60">
        <f>IF('Scenario Inputs'!T97="",IncPEcad,'Scenario Inputs'!T97)</f>
        <v>0</v>
      </c>
      <c r="O34" s="60">
        <f>IF('Scenario Inputs'!U97="",IncPEcad,'Scenario Inputs'!U97)</f>
        <v>0</v>
      </c>
    </row>
    <row r="37" spans="1:28">
      <c r="A37" s="1" t="s">
        <v>52</v>
      </c>
    </row>
    <row r="38" spans="1:28" ht="19.2">
      <c r="A38" s="33" t="s">
        <v>144</v>
      </c>
      <c r="B38" s="59">
        <f>'Cost Inputs'!K18/365</f>
        <v>172.17000000000002</v>
      </c>
      <c r="C38" s="42"/>
    </row>
    <row r="39" spans="1:28" ht="19.2">
      <c r="A39" s="34" t="s">
        <v>145</v>
      </c>
      <c r="B39" s="59">
        <f>'Cost Inputs'!K19/365</f>
        <v>140.06</v>
      </c>
      <c r="C39" s="42"/>
    </row>
    <row r="40" spans="1:28" ht="19.2">
      <c r="A40" s="34" t="s">
        <v>146</v>
      </c>
      <c r="B40" s="59">
        <f>'Cost Inputs'!K20/365</f>
        <v>107.92</v>
      </c>
      <c r="C40" s="42"/>
    </row>
    <row r="41" spans="1:28" ht="19.2">
      <c r="A41" s="34" t="s">
        <v>147</v>
      </c>
      <c r="B41" s="59">
        <f>'Cost Inputs'!K21/365</f>
        <v>24.67</v>
      </c>
      <c r="C41" s="42"/>
    </row>
    <row r="42" spans="1:28" ht="19.2">
      <c r="A42" s="42"/>
      <c r="B42" s="44"/>
      <c r="C42" s="42"/>
    </row>
    <row r="43" spans="1:28" ht="19.2" hidden="1" customHeight="1">
      <c r="A43" s="43" t="s">
        <v>96</v>
      </c>
      <c r="B43" s="44"/>
      <c r="C43">
        <v>2010</v>
      </c>
      <c r="D43">
        <v>2011</v>
      </c>
      <c r="E43">
        <v>2012</v>
      </c>
      <c r="F43">
        <v>2013</v>
      </c>
      <c r="G43">
        <v>2014</v>
      </c>
      <c r="H43">
        <v>2015</v>
      </c>
      <c r="I43">
        <v>2016</v>
      </c>
      <c r="J43">
        <v>2017</v>
      </c>
      <c r="K43">
        <v>2018</v>
      </c>
      <c r="L43">
        <v>2019</v>
      </c>
      <c r="M43">
        <v>2020</v>
      </c>
      <c r="N43">
        <v>2021</v>
      </c>
      <c r="O43">
        <v>2022</v>
      </c>
      <c r="P43">
        <v>2023</v>
      </c>
      <c r="Q43">
        <v>2023</v>
      </c>
      <c r="R43">
        <v>2024</v>
      </c>
      <c r="S43">
        <v>2025</v>
      </c>
      <c r="T43">
        <v>2026</v>
      </c>
      <c r="U43">
        <v>2027</v>
      </c>
      <c r="V43">
        <v>2028</v>
      </c>
      <c r="W43">
        <v>2029</v>
      </c>
      <c r="X43">
        <v>2030</v>
      </c>
      <c r="Y43">
        <v>2031</v>
      </c>
      <c r="Z43">
        <v>2032</v>
      </c>
      <c r="AA43">
        <v>2033</v>
      </c>
      <c r="AB43">
        <v>2034</v>
      </c>
    </row>
    <row r="44" spans="1:28" ht="14.4" hidden="1" customHeight="1">
      <c r="C44" s="41">
        <f>daily_rate!A4</f>
        <v>0</v>
      </c>
      <c r="D44" s="41">
        <f>daily_rate!B4</f>
        <v>0</v>
      </c>
      <c r="E44" s="41">
        <f>daily_rate!C4</f>
        <v>0</v>
      </c>
      <c r="F44" s="41">
        <f>daily_rate!D4</f>
        <v>0</v>
      </c>
      <c r="G44" s="41">
        <f>daily_rate!E4</f>
        <v>0</v>
      </c>
      <c r="H44" s="41">
        <f>daily_rate!F4</f>
        <v>0</v>
      </c>
      <c r="I44" s="41">
        <f>daily_rate!G4</f>
        <v>0</v>
      </c>
      <c r="J44" s="41">
        <f>daily_rate!H4</f>
        <v>0</v>
      </c>
      <c r="K44" s="41">
        <f>daily_rate!I4</f>
        <v>0</v>
      </c>
      <c r="L44" s="41">
        <f>daily_rate!J4</f>
        <v>0</v>
      </c>
      <c r="M44" s="41">
        <f>daily_rate!K4</f>
        <v>0</v>
      </c>
      <c r="N44" s="41">
        <f>daily_rate!L4</f>
        <v>0</v>
      </c>
      <c r="O44" s="41">
        <f>daily_rate!M4</f>
        <v>0</v>
      </c>
      <c r="P44" s="41">
        <f>daily_rate!N4</f>
        <v>0</v>
      </c>
      <c r="Q44" s="41">
        <f>daily_rate!O4</f>
        <v>0</v>
      </c>
      <c r="R44" s="41">
        <f>daily_rate!P4</f>
        <v>0</v>
      </c>
      <c r="S44" s="41">
        <f>daily_rate!Q4</f>
        <v>0</v>
      </c>
      <c r="T44" s="41">
        <f>daily_rate!R4</f>
        <v>0</v>
      </c>
      <c r="U44" s="41">
        <f>daily_rate!S4</f>
        <v>0</v>
      </c>
      <c r="V44" s="41">
        <f>daily_rate!T4</f>
        <v>0</v>
      </c>
      <c r="W44" s="41">
        <f>daily_rate!U4</f>
        <v>0</v>
      </c>
      <c r="X44" s="41">
        <f>daily_rate!V4</f>
        <v>0</v>
      </c>
      <c r="Y44" s="41">
        <f>daily_rate!W4</f>
        <v>0</v>
      </c>
      <c r="Z44" s="41">
        <f>daily_rate!X4</f>
        <v>0</v>
      </c>
      <c r="AA44" s="41">
        <f>daily_rate!Y4</f>
        <v>0</v>
      </c>
      <c r="AB44" s="41">
        <f>daily_rate!Z4</f>
        <v>0</v>
      </c>
    </row>
    <row r="45" spans="1:28" ht="14.4" hidden="1" customHeight="1">
      <c r="C45" s="177" t="s">
        <v>58</v>
      </c>
      <c r="D45" s="177"/>
      <c r="E45" s="177"/>
      <c r="F45" s="177"/>
      <c r="G45" s="177"/>
      <c r="H45" s="177"/>
      <c r="I45" s="177"/>
      <c r="J45" s="177"/>
      <c r="K45" s="177"/>
      <c r="L45" s="177"/>
      <c r="M45" s="177"/>
      <c r="N45" s="177"/>
      <c r="O45" s="177"/>
      <c r="P45" s="177" t="s">
        <v>123</v>
      </c>
      <c r="Q45" s="177"/>
      <c r="R45" s="177"/>
      <c r="S45" s="177"/>
      <c r="T45" s="177"/>
      <c r="U45" s="177"/>
      <c r="V45" s="177"/>
      <c r="W45" s="177"/>
      <c r="X45" s="177"/>
      <c r="Y45" s="177"/>
      <c r="Z45" s="177"/>
      <c r="AA45" s="177"/>
      <c r="AB45" s="177"/>
    </row>
    <row r="46" spans="1:28" ht="19.2">
      <c r="A46" s="43" t="s">
        <v>93</v>
      </c>
    </row>
    <row r="47" spans="1:28" ht="12" customHeight="1">
      <c r="A47" s="43"/>
    </row>
    <row r="48" spans="1:28">
      <c r="A48" t="s">
        <v>94</v>
      </c>
      <c r="B48" t="s">
        <v>158</v>
      </c>
      <c r="C48" t="s">
        <v>139</v>
      </c>
      <c r="E48" t="s">
        <v>161</v>
      </c>
      <c r="F48" t="s">
        <v>158</v>
      </c>
      <c r="G48" t="s">
        <v>139</v>
      </c>
      <c r="I48" t="s">
        <v>102</v>
      </c>
      <c r="J48">
        <v>1</v>
      </c>
      <c r="K48">
        <v>2</v>
      </c>
      <c r="L48">
        <v>3</v>
      </c>
      <c r="M48">
        <v>4</v>
      </c>
      <c r="N48">
        <v>5</v>
      </c>
      <c r="O48">
        <v>6</v>
      </c>
      <c r="P48">
        <v>7</v>
      </c>
      <c r="Q48">
        <v>8</v>
      </c>
      <c r="R48">
        <v>9</v>
      </c>
      <c r="S48">
        <v>10</v>
      </c>
      <c r="T48">
        <v>11</v>
      </c>
      <c r="U48">
        <v>12</v>
      </c>
      <c r="V48">
        <v>13</v>
      </c>
    </row>
    <row r="49" spans="1:48">
      <c r="A49" s="4">
        <v>1</v>
      </c>
      <c r="B49" s="53">
        <f>suitableForTx!B1</f>
        <v>0.7</v>
      </c>
      <c r="C49" s="2">
        <f>suitableForTx!B9</f>
        <v>0.7</v>
      </c>
      <c r="E49" s="4">
        <v>1</v>
      </c>
      <c r="F49">
        <f>receivesTx!B1</f>
        <v>0.9</v>
      </c>
      <c r="G49" s="2">
        <f>receivesTx!B9</f>
        <v>0.6</v>
      </c>
      <c r="I49" s="2">
        <f>F49</f>
        <v>0.9</v>
      </c>
      <c r="J49" s="54">
        <f>IF('Scenario Inputs'!I91="",simPy_sheet!$I49,'Scenario Inputs'!I91)</f>
        <v>0.9</v>
      </c>
      <c r="K49" s="54">
        <f>IF('Scenario Inputs'!J91="",simPy_sheet!$I49,'Scenario Inputs'!J91)</f>
        <v>0.9</v>
      </c>
      <c r="L49" s="54">
        <f>IF('Scenario Inputs'!K91="",simPy_sheet!$I49,'Scenario Inputs'!K91)</f>
        <v>0.9</v>
      </c>
      <c r="M49" s="54">
        <f>IF('Scenario Inputs'!L91="",simPy_sheet!$I49,'Scenario Inputs'!L91)</f>
        <v>0.9</v>
      </c>
      <c r="N49" s="54">
        <f>IF('Scenario Inputs'!M91="",simPy_sheet!$I49,'Scenario Inputs'!M91)</f>
        <v>0.9</v>
      </c>
      <c r="O49" s="54">
        <f>IF('Scenario Inputs'!N91="",simPy_sheet!$I49,'Scenario Inputs'!N91)</f>
        <v>0.9</v>
      </c>
      <c r="P49" s="54">
        <f>IF('Scenario Inputs'!O91="",simPy_sheet!$I49,'Scenario Inputs'!O91)</f>
        <v>0.9</v>
      </c>
      <c r="Q49" s="54">
        <f>IF('Scenario Inputs'!P91="",simPy_sheet!$I49,'Scenario Inputs'!P91)</f>
        <v>0.9</v>
      </c>
      <c r="R49" s="54">
        <f>IF('Scenario Inputs'!Q91="",simPy_sheet!$I49,'Scenario Inputs'!Q91)</f>
        <v>0.9</v>
      </c>
      <c r="S49" s="54">
        <f>IF('Scenario Inputs'!R91="",simPy_sheet!$I49,'Scenario Inputs'!R91)</f>
        <v>0.9</v>
      </c>
      <c r="T49" s="54">
        <f>IF('Scenario Inputs'!S91="",simPy_sheet!$I49,'Scenario Inputs'!S91)</f>
        <v>0.9</v>
      </c>
      <c r="U49" s="54">
        <f>IF('Scenario Inputs'!T91="",simPy_sheet!$I49,'Scenario Inputs'!T91)</f>
        <v>0.9</v>
      </c>
      <c r="V49" s="54">
        <f>IF('Scenario Inputs'!U91="",simPy_sheet!$I49,'Scenario Inputs'!U91)</f>
        <v>0.9</v>
      </c>
    </row>
    <row r="50" spans="1:48">
      <c r="A50" s="4">
        <v>2</v>
      </c>
      <c r="B50" s="53">
        <f>suitableForTx!B2</f>
        <v>0.6</v>
      </c>
      <c r="C50" s="2">
        <f>suitableForTx!B10</f>
        <v>0.6</v>
      </c>
      <c r="E50" s="4">
        <v>2</v>
      </c>
      <c r="F50">
        <f>receivesTx!B2</f>
        <v>0.8</v>
      </c>
      <c r="G50" s="2">
        <f>receivesTx!B10</f>
        <v>0.3</v>
      </c>
      <c r="I50" s="2">
        <f t="shared" ref="I50:I54" si="1">F50</f>
        <v>0.8</v>
      </c>
      <c r="J50" s="54">
        <f>IF('Scenario Inputs'!I92="",simPy_sheet!$I50,'Scenario Inputs'!I92)</f>
        <v>0.8</v>
      </c>
      <c r="K50" s="54">
        <f>IF('Scenario Inputs'!J92="",simPy_sheet!$I50,'Scenario Inputs'!J92)</f>
        <v>0.8</v>
      </c>
      <c r="L50" s="54">
        <f>IF('Scenario Inputs'!K92="",simPy_sheet!$I50,'Scenario Inputs'!K92)</f>
        <v>0.8</v>
      </c>
      <c r="M50" s="54">
        <f>IF('Scenario Inputs'!L92="",simPy_sheet!$I50,'Scenario Inputs'!L92)</f>
        <v>0.8</v>
      </c>
      <c r="N50" s="54">
        <f>IF('Scenario Inputs'!M92="",simPy_sheet!$I50,'Scenario Inputs'!M92)</f>
        <v>0.8</v>
      </c>
      <c r="O50" s="54">
        <f>IF('Scenario Inputs'!N92="",simPy_sheet!$I50,'Scenario Inputs'!N92)</f>
        <v>0.8</v>
      </c>
      <c r="P50" s="54">
        <f>IF('Scenario Inputs'!O92="",simPy_sheet!$I50,'Scenario Inputs'!O92)</f>
        <v>0.8</v>
      </c>
      <c r="Q50" s="54">
        <f>IF('Scenario Inputs'!P92="",simPy_sheet!$I50,'Scenario Inputs'!P92)</f>
        <v>0.8</v>
      </c>
      <c r="R50" s="54">
        <f>IF('Scenario Inputs'!Q92="",simPy_sheet!$I50,'Scenario Inputs'!Q92)</f>
        <v>0.8</v>
      </c>
      <c r="S50" s="54">
        <f>IF('Scenario Inputs'!R92="",simPy_sheet!$I50,'Scenario Inputs'!R92)</f>
        <v>0.8</v>
      </c>
      <c r="T50" s="54">
        <f>IF('Scenario Inputs'!S92="",simPy_sheet!$I50,'Scenario Inputs'!S92)</f>
        <v>0.8</v>
      </c>
      <c r="U50" s="54">
        <f>IF('Scenario Inputs'!T92="",simPy_sheet!$I50,'Scenario Inputs'!T92)</f>
        <v>0.8</v>
      </c>
      <c r="V50" s="54">
        <f>IF('Scenario Inputs'!U92="",simPy_sheet!$I50,'Scenario Inputs'!U92)</f>
        <v>0.8</v>
      </c>
    </row>
    <row r="51" spans="1:48">
      <c r="A51" s="4">
        <v>3</v>
      </c>
      <c r="B51" s="53">
        <f>suitableForTx!B3</f>
        <v>0.5</v>
      </c>
      <c r="C51" s="2">
        <f>suitableForTx!B11</f>
        <v>0.5</v>
      </c>
      <c r="E51" s="4">
        <v>3</v>
      </c>
      <c r="F51">
        <f>receivesTx!B3</f>
        <v>0.6</v>
      </c>
      <c r="G51" s="2">
        <f>receivesTx!B11</f>
        <v>0.3</v>
      </c>
      <c r="I51" s="2">
        <f t="shared" si="1"/>
        <v>0.6</v>
      </c>
      <c r="J51" s="54">
        <f>IF('Scenario Inputs'!I93="",simPy_sheet!$I51,'Scenario Inputs'!I93)</f>
        <v>0.6</v>
      </c>
      <c r="K51" s="54">
        <f>IF('Scenario Inputs'!J93="",simPy_sheet!$I51,'Scenario Inputs'!J93)</f>
        <v>0.6</v>
      </c>
      <c r="L51" s="54">
        <f>IF('Scenario Inputs'!K93="",simPy_sheet!$I51,'Scenario Inputs'!K93)</f>
        <v>0.6</v>
      </c>
      <c r="M51" s="54">
        <f>IF('Scenario Inputs'!L93="",simPy_sheet!$I51,'Scenario Inputs'!L93)</f>
        <v>0.6</v>
      </c>
      <c r="N51" s="54">
        <f>IF('Scenario Inputs'!M93="",simPy_sheet!$I51,'Scenario Inputs'!M93)</f>
        <v>0.6</v>
      </c>
      <c r="O51" s="54">
        <f>IF('Scenario Inputs'!N93="",simPy_sheet!$I51,'Scenario Inputs'!N93)</f>
        <v>0.6</v>
      </c>
      <c r="P51" s="54">
        <f>IF('Scenario Inputs'!O93="",simPy_sheet!$I51,'Scenario Inputs'!O93)</f>
        <v>0.6</v>
      </c>
      <c r="Q51" s="54">
        <f>IF('Scenario Inputs'!P93="",simPy_sheet!$I51,'Scenario Inputs'!P93)</f>
        <v>0.6</v>
      </c>
      <c r="R51" s="54">
        <f>IF('Scenario Inputs'!Q93="",simPy_sheet!$I51,'Scenario Inputs'!Q93)</f>
        <v>0.6</v>
      </c>
      <c r="S51" s="54">
        <f>IF('Scenario Inputs'!R93="",simPy_sheet!$I51,'Scenario Inputs'!R93)</f>
        <v>0.6</v>
      </c>
      <c r="T51" s="54">
        <f>IF('Scenario Inputs'!S93="",simPy_sheet!$I51,'Scenario Inputs'!S93)</f>
        <v>0.6</v>
      </c>
      <c r="U51" s="54">
        <f>IF('Scenario Inputs'!T93="",simPy_sheet!$I51,'Scenario Inputs'!T93)</f>
        <v>0.6</v>
      </c>
      <c r="V51" s="54">
        <f>IF('Scenario Inputs'!U93="",simPy_sheet!$I51,'Scenario Inputs'!U93)</f>
        <v>0.6</v>
      </c>
    </row>
    <row r="52" spans="1:48">
      <c r="A52" s="4">
        <v>4</v>
      </c>
      <c r="B52" s="53">
        <f>suitableForTx!B4</f>
        <v>0.4</v>
      </c>
      <c r="C52" s="2">
        <f>suitableForTx!B12</f>
        <v>0.4</v>
      </c>
      <c r="E52" s="4">
        <v>4</v>
      </c>
      <c r="F52">
        <f>receivesTx!B4</f>
        <v>0.5</v>
      </c>
      <c r="G52" s="2">
        <f>receivesTx!B12</f>
        <v>0.3</v>
      </c>
      <c r="I52" s="2">
        <f t="shared" si="1"/>
        <v>0.5</v>
      </c>
      <c r="J52" s="54">
        <f>IF('Scenario Inputs'!I94="",simPy_sheet!$I52,'Scenario Inputs'!I94)</f>
        <v>0.5</v>
      </c>
      <c r="K52" s="54">
        <f>IF('Scenario Inputs'!J94="",simPy_sheet!$I52,'Scenario Inputs'!J94)</f>
        <v>0.5</v>
      </c>
      <c r="L52" s="54">
        <f>IF('Scenario Inputs'!K94="",simPy_sheet!$I52,'Scenario Inputs'!K94)</f>
        <v>0.5</v>
      </c>
      <c r="M52" s="54">
        <f>IF('Scenario Inputs'!L94="",simPy_sheet!$I52,'Scenario Inputs'!L94)</f>
        <v>0.5</v>
      </c>
      <c r="N52" s="54">
        <f>IF('Scenario Inputs'!M94="",simPy_sheet!$I52,'Scenario Inputs'!M94)</f>
        <v>0.5</v>
      </c>
      <c r="O52" s="54">
        <f>IF('Scenario Inputs'!N94="",simPy_sheet!$I52,'Scenario Inputs'!N94)</f>
        <v>0.5</v>
      </c>
      <c r="P52" s="54">
        <f>IF('Scenario Inputs'!O94="",simPy_sheet!$I52,'Scenario Inputs'!O94)</f>
        <v>0.5</v>
      </c>
      <c r="Q52" s="54">
        <f>IF('Scenario Inputs'!P94="",simPy_sheet!$I52,'Scenario Inputs'!P94)</f>
        <v>0.5</v>
      </c>
      <c r="R52" s="54">
        <f>IF('Scenario Inputs'!Q94="",simPy_sheet!$I52,'Scenario Inputs'!Q94)</f>
        <v>0.5</v>
      </c>
      <c r="S52" s="54">
        <f>IF('Scenario Inputs'!R94="",simPy_sheet!$I52,'Scenario Inputs'!R94)</f>
        <v>0.5</v>
      </c>
      <c r="T52" s="54">
        <f>IF('Scenario Inputs'!S94="",simPy_sheet!$I52,'Scenario Inputs'!S94)</f>
        <v>0.5</v>
      </c>
      <c r="U52" s="54">
        <f>IF('Scenario Inputs'!T94="",simPy_sheet!$I52,'Scenario Inputs'!T94)</f>
        <v>0.5</v>
      </c>
      <c r="V52" s="54">
        <f>IF('Scenario Inputs'!U94="",simPy_sheet!$I52,'Scenario Inputs'!U94)</f>
        <v>0.5</v>
      </c>
    </row>
    <row r="53" spans="1:48">
      <c r="A53" s="4">
        <v>5</v>
      </c>
      <c r="B53" s="53">
        <f>suitableForTx!B5</f>
        <v>0.2</v>
      </c>
      <c r="C53" s="2">
        <f>suitableForTx!B13</f>
        <v>0.2</v>
      </c>
      <c r="E53" s="4">
        <v>5</v>
      </c>
      <c r="F53">
        <f>receivesTx!B5</f>
        <v>0.5</v>
      </c>
      <c r="G53" s="2">
        <f>receivesTx!B13</f>
        <v>0.15</v>
      </c>
      <c r="I53" s="2">
        <f t="shared" si="1"/>
        <v>0.5</v>
      </c>
      <c r="J53" s="54">
        <f>IF('Scenario Inputs'!I95="",simPy_sheet!$I53,'Scenario Inputs'!I95)</f>
        <v>0.5</v>
      </c>
      <c r="K53" s="54">
        <f>IF('Scenario Inputs'!J95="",simPy_sheet!$I53,'Scenario Inputs'!J95)</f>
        <v>0.5</v>
      </c>
      <c r="L53" s="54">
        <f>IF('Scenario Inputs'!K95="",simPy_sheet!$I53,'Scenario Inputs'!K95)</f>
        <v>0.5</v>
      </c>
      <c r="M53" s="54">
        <f>IF('Scenario Inputs'!L95="",simPy_sheet!$I53,'Scenario Inputs'!L95)</f>
        <v>0.5</v>
      </c>
      <c r="N53" s="54">
        <f>IF('Scenario Inputs'!M95="",simPy_sheet!$I53,'Scenario Inputs'!M95)</f>
        <v>0.5</v>
      </c>
      <c r="O53" s="54">
        <f>IF('Scenario Inputs'!N95="",simPy_sheet!$I53,'Scenario Inputs'!N95)</f>
        <v>0.5</v>
      </c>
      <c r="P53" s="54">
        <f>IF('Scenario Inputs'!O95="",simPy_sheet!$I53,'Scenario Inputs'!O95)</f>
        <v>0.5</v>
      </c>
      <c r="Q53" s="54">
        <f>IF('Scenario Inputs'!P95="",simPy_sheet!$I53,'Scenario Inputs'!P95)</f>
        <v>0.5</v>
      </c>
      <c r="R53" s="54">
        <f>IF('Scenario Inputs'!Q95="",simPy_sheet!$I53,'Scenario Inputs'!Q95)</f>
        <v>0.5</v>
      </c>
      <c r="S53" s="54">
        <f>IF('Scenario Inputs'!R95="",simPy_sheet!$I53,'Scenario Inputs'!R95)</f>
        <v>0.5</v>
      </c>
      <c r="T53" s="54">
        <f>IF('Scenario Inputs'!S95="",simPy_sheet!$I53,'Scenario Inputs'!S95)</f>
        <v>0.5</v>
      </c>
      <c r="U53" s="54">
        <f>IF('Scenario Inputs'!T95="",simPy_sheet!$I53,'Scenario Inputs'!T95)</f>
        <v>0.5</v>
      </c>
      <c r="V53" s="54">
        <f>IF('Scenario Inputs'!U95="",simPy_sheet!$I53,'Scenario Inputs'!U95)</f>
        <v>0.5</v>
      </c>
    </row>
    <row r="54" spans="1:48">
      <c r="A54" s="4">
        <v>6</v>
      </c>
      <c r="B54" s="53">
        <f>suitableForTx!B6</f>
        <v>0.05</v>
      </c>
      <c r="C54" s="2">
        <f>suitableForTx!B14</f>
        <v>0.05</v>
      </c>
      <c r="E54" s="4">
        <v>6</v>
      </c>
      <c r="F54">
        <f>receivesTx!B6</f>
        <v>0.1</v>
      </c>
      <c r="G54" s="2">
        <f>receivesTx!B14</f>
        <v>0.1</v>
      </c>
      <c r="I54" s="2">
        <f t="shared" si="1"/>
        <v>0.1</v>
      </c>
      <c r="J54" s="54">
        <f>IF('Scenario Inputs'!I96="",simPy_sheet!$I54,'Scenario Inputs'!I96)</f>
        <v>0.1</v>
      </c>
      <c r="K54" s="54">
        <f>IF('Scenario Inputs'!J96="",simPy_sheet!$I54,'Scenario Inputs'!J96)</f>
        <v>0.1</v>
      </c>
      <c r="L54" s="54">
        <f>IF('Scenario Inputs'!K96="",simPy_sheet!$I54,'Scenario Inputs'!K96)</f>
        <v>0.1</v>
      </c>
      <c r="M54" s="54">
        <f>IF('Scenario Inputs'!L96="",simPy_sheet!$I54,'Scenario Inputs'!L96)</f>
        <v>0.1</v>
      </c>
      <c r="N54" s="54">
        <f>IF('Scenario Inputs'!M96="",simPy_sheet!$I54,'Scenario Inputs'!M96)</f>
        <v>0.1</v>
      </c>
      <c r="O54" s="54">
        <f>IF('Scenario Inputs'!N96="",simPy_sheet!$I54,'Scenario Inputs'!N96)</f>
        <v>0.1</v>
      </c>
      <c r="P54" s="54">
        <f>IF('Scenario Inputs'!O96="",simPy_sheet!$I54,'Scenario Inputs'!O96)</f>
        <v>0.1</v>
      </c>
      <c r="Q54" s="54">
        <f>IF('Scenario Inputs'!P96="",simPy_sheet!$I54,'Scenario Inputs'!P96)</f>
        <v>0.1</v>
      </c>
      <c r="R54" s="54">
        <f>IF('Scenario Inputs'!Q96="",simPy_sheet!$I54,'Scenario Inputs'!Q96)</f>
        <v>0.1</v>
      </c>
      <c r="S54" s="54">
        <f>IF('Scenario Inputs'!R96="",simPy_sheet!$I54,'Scenario Inputs'!R96)</f>
        <v>0.1</v>
      </c>
      <c r="T54" s="54">
        <f>IF('Scenario Inputs'!S96="",simPy_sheet!$I54,'Scenario Inputs'!S96)</f>
        <v>0.1</v>
      </c>
      <c r="U54" s="54">
        <f>IF('Scenario Inputs'!T96="",simPy_sheet!$I54,'Scenario Inputs'!T96)</f>
        <v>0.1</v>
      </c>
      <c r="V54" s="54">
        <f>IF('Scenario Inputs'!U96="",simPy_sheet!$I54,'Scenario Inputs'!U96)</f>
        <v>0.1</v>
      </c>
    </row>
    <row r="55" spans="1:48">
      <c r="AG55" t="s">
        <v>164</v>
      </c>
    </row>
    <row r="56" spans="1:48">
      <c r="A56" t="s">
        <v>95</v>
      </c>
      <c r="C56">
        <v>1</v>
      </c>
      <c r="D56">
        <v>2</v>
      </c>
      <c r="E56">
        <v>3</v>
      </c>
      <c r="F56">
        <v>4</v>
      </c>
      <c r="G56">
        <v>5</v>
      </c>
      <c r="H56">
        <v>6</v>
      </c>
      <c r="I56">
        <v>7</v>
      </c>
      <c r="J56">
        <v>8</v>
      </c>
      <c r="K56">
        <v>9</v>
      </c>
      <c r="L56">
        <v>10</v>
      </c>
      <c r="M56">
        <v>11</v>
      </c>
      <c r="N56">
        <v>12</v>
      </c>
      <c r="O56">
        <v>13</v>
      </c>
      <c r="Q56" t="s">
        <v>132</v>
      </c>
      <c r="S56">
        <v>1</v>
      </c>
      <c r="T56">
        <v>2</v>
      </c>
      <c r="U56">
        <v>3</v>
      </c>
      <c r="V56">
        <v>4</v>
      </c>
      <c r="W56">
        <v>5</v>
      </c>
      <c r="X56">
        <v>6</v>
      </c>
      <c r="Y56">
        <v>7</v>
      </c>
      <c r="Z56">
        <v>8</v>
      </c>
      <c r="AA56">
        <v>9</v>
      </c>
      <c r="AB56">
        <v>10</v>
      </c>
      <c r="AC56">
        <v>11</v>
      </c>
      <c r="AD56">
        <v>12</v>
      </c>
      <c r="AE56">
        <v>13</v>
      </c>
      <c r="AG56" t="s">
        <v>165</v>
      </c>
      <c r="AI56" t="s">
        <v>179</v>
      </c>
      <c r="AJ56">
        <v>1</v>
      </c>
      <c r="AK56">
        <v>2</v>
      </c>
      <c r="AL56">
        <v>3</v>
      </c>
      <c r="AM56">
        <v>4</v>
      </c>
      <c r="AN56">
        <v>5</v>
      </c>
      <c r="AO56">
        <v>6</v>
      </c>
      <c r="AP56">
        <v>7</v>
      </c>
      <c r="AQ56">
        <v>8</v>
      </c>
      <c r="AR56">
        <v>9</v>
      </c>
      <c r="AS56">
        <v>10</v>
      </c>
      <c r="AT56">
        <v>11</v>
      </c>
      <c r="AU56">
        <v>12</v>
      </c>
      <c r="AV56">
        <v>13</v>
      </c>
    </row>
    <row r="57" spans="1:48">
      <c r="A57" s="4" t="s">
        <v>66</v>
      </c>
      <c r="B57" s="4">
        <v>1</v>
      </c>
      <c r="C57" s="55">
        <f>IF(AJ57*2*preE_Tx_Live!$C1/SUM(preE_Tx_Cadav!$C1,preE_Tx_Live!$C1)&lt;=1,AJ57*2*preE_Tx_Cadav!$C1/SUM(preE_Tx_Cadav!$C1,preE_Tx_Live!$C1),2*AJ57-1)</f>
        <v>0.10000000000000002</v>
      </c>
      <c r="D57" s="55">
        <f>IF(AK57*2*preE_Tx_Live!$C1/SUM(preE_Tx_Cadav!$C1,preE_Tx_Live!$C1)&lt;=1,AK57*2*preE_Tx_Cadav!$C1/SUM(preE_Tx_Cadav!$C1,preE_Tx_Live!$C1),2*AK57-1)</f>
        <v>0.10000000000000002</v>
      </c>
      <c r="E57" s="55">
        <f>IF(AL57*2*preE_Tx_Live!$C1/SUM(preE_Tx_Cadav!$C1,preE_Tx_Live!$C1)&lt;=1,AL57*2*preE_Tx_Cadav!$C1/SUM(preE_Tx_Cadav!$C1,preE_Tx_Live!$C1),2*AL57-1)</f>
        <v>0.10000000000000002</v>
      </c>
      <c r="F57" s="55">
        <f>IF(AM57*2*preE_Tx_Live!$C1/SUM(preE_Tx_Cadav!$C1,preE_Tx_Live!$C1)&lt;=1,AM57*2*preE_Tx_Cadav!$C1/SUM(preE_Tx_Cadav!$C1,preE_Tx_Live!$C1),2*AM57-1)</f>
        <v>0.10000000000000002</v>
      </c>
      <c r="G57" s="55">
        <f>IF(AN57*2*preE_Tx_Live!$C1/SUM(preE_Tx_Cadav!$C1,preE_Tx_Live!$C1)&lt;=1,AN57*2*preE_Tx_Cadav!$C1/SUM(preE_Tx_Cadav!$C1,preE_Tx_Live!$C1),2*AN57-1)</f>
        <v>0.10000000000000002</v>
      </c>
      <c r="H57" s="55">
        <f>IF(AO57*2*preE_Tx_Live!$C1/SUM(preE_Tx_Cadav!$C1,preE_Tx_Live!$C1)&lt;=1,AO57*2*preE_Tx_Cadav!$C1/SUM(preE_Tx_Cadav!$C1,preE_Tx_Live!$C1),2*AO57-1)</f>
        <v>0.10000000000000002</v>
      </c>
      <c r="I57" s="55">
        <f>IF(AP57*2*preE_Tx_Live!$C1/SUM(preE_Tx_Cadav!$C1,preE_Tx_Live!$C1)&lt;=1,AP57*2*preE_Tx_Cadav!$C1/SUM(preE_Tx_Cadav!$C1,preE_Tx_Live!$C1),2*AP57-1)</f>
        <v>0.10000000000000002</v>
      </c>
      <c r="J57" s="55">
        <f>IF(AQ57*2*preE_Tx_Live!$C1/SUM(preE_Tx_Cadav!$C1,preE_Tx_Live!$C1)&lt;=1,AQ57*2*preE_Tx_Cadav!$C1/SUM(preE_Tx_Cadav!$C1,preE_Tx_Live!$C1),2*AQ57-1)</f>
        <v>0.10000000000000002</v>
      </c>
      <c r="K57" s="55">
        <f>IF(AR57*2*preE_Tx_Live!$C1/SUM(preE_Tx_Cadav!$C1,preE_Tx_Live!$C1)&lt;=1,AR57*2*preE_Tx_Cadav!$C1/SUM(preE_Tx_Cadav!$C1,preE_Tx_Live!$C1),2*AR57-1)</f>
        <v>0.10000000000000002</v>
      </c>
      <c r="L57" s="55">
        <f>IF(AS57*2*preE_Tx_Live!$C1/SUM(preE_Tx_Cadav!$C1,preE_Tx_Live!$C1)&lt;=1,AS57*2*preE_Tx_Cadav!$C1/SUM(preE_Tx_Cadav!$C1,preE_Tx_Live!$C1),2*AS57-1)</f>
        <v>0.10000000000000002</v>
      </c>
      <c r="M57" s="55">
        <f>IF(AT57*2*preE_Tx_Live!$C1/SUM(preE_Tx_Cadav!$C1,preE_Tx_Live!$C1)&lt;=1,AT57*2*preE_Tx_Cadav!$C1/SUM(preE_Tx_Cadav!$C1,preE_Tx_Live!$C1),2*AT57-1)</f>
        <v>0.10000000000000002</v>
      </c>
      <c r="N57" s="55">
        <f>IF(AU57*2*preE_Tx_Live!$C1/SUM(preE_Tx_Cadav!$C1,preE_Tx_Live!$C1)&lt;=1,AU57*2*preE_Tx_Cadav!$C1/SUM(preE_Tx_Cadav!$C1,preE_Tx_Live!$C1),2*AU57-1)</f>
        <v>0.10000000000000002</v>
      </c>
      <c r="O57" s="55">
        <f>IF(AV57*2*preE_Tx_Live!$C1/SUM(preE_Tx_Cadav!$C1,preE_Tx_Live!$C1)&lt;=1,AV57*2*preE_Tx_Cadav!$C1/SUM(preE_Tx_Cadav!$C1,preE_Tx_Live!$C1),2*AV57-1)</f>
        <v>0.10000000000000002</v>
      </c>
      <c r="Q57" s="4" t="s">
        <v>66</v>
      </c>
      <c r="R57" s="53">
        <v>1</v>
      </c>
      <c r="S57" s="55">
        <f>IF(AJ57*2*preE_Tx_Live!$C1/SUM(preE_Tx_Cadav!$C1,preE_Tx_Live!$C1)&lt;=1,AJ57*2*preE_Tx_Live!$C1/SUM(preE_Tx_Cadav!$C1,preE_Tx_Live!$C1),1)</f>
        <v>0.3</v>
      </c>
      <c r="T57" s="55">
        <f>IF(AK57*2*preE_Tx_Live!$C1/SUM(preE_Tx_Cadav!$C1,preE_Tx_Live!$C1)&lt;=1,AK57*2*preE_Tx_Live!$C1/SUM(preE_Tx_Cadav!$C1,preE_Tx_Live!$C1),1)</f>
        <v>0.3</v>
      </c>
      <c r="U57" s="55">
        <f>IF(AL57*2*preE_Tx_Live!$C1/SUM(preE_Tx_Cadav!$C1,preE_Tx_Live!$C1)&lt;=1,AL57*2*preE_Tx_Live!$C1/SUM(preE_Tx_Cadav!$C1,preE_Tx_Live!$C1),1)</f>
        <v>0.3</v>
      </c>
      <c r="V57" s="55">
        <f>IF(AM57*2*preE_Tx_Live!$C1/SUM(preE_Tx_Cadav!$C1,preE_Tx_Live!$C1)&lt;=1,AM57*2*preE_Tx_Live!$C1/SUM(preE_Tx_Cadav!$C1,preE_Tx_Live!$C1),1)</f>
        <v>0.3</v>
      </c>
      <c r="W57" s="55">
        <f>IF(AN57*2*preE_Tx_Live!$C1/SUM(preE_Tx_Cadav!$C1,preE_Tx_Live!$C1)&lt;=1,AN57*2*preE_Tx_Live!$C1/SUM(preE_Tx_Cadav!$C1,preE_Tx_Live!$C1),1)</f>
        <v>0.3</v>
      </c>
      <c r="X57" s="55">
        <f>IF(AO57*2*preE_Tx_Live!$C1/SUM(preE_Tx_Cadav!$C1,preE_Tx_Live!$C1)&lt;=1,AO57*2*preE_Tx_Live!$C1/SUM(preE_Tx_Cadav!$C1,preE_Tx_Live!$C1),1)</f>
        <v>0.3</v>
      </c>
      <c r="Y57" s="55">
        <f>IF(AP57*2*preE_Tx_Live!$C1/SUM(preE_Tx_Cadav!$C1,preE_Tx_Live!$C1)&lt;=1,AP57*2*preE_Tx_Live!$C1/SUM(preE_Tx_Cadav!$C1,preE_Tx_Live!$C1),1)</f>
        <v>0.3</v>
      </c>
      <c r="Z57" s="55">
        <f>IF(AQ57*2*preE_Tx_Live!$C1/SUM(preE_Tx_Cadav!$C1,preE_Tx_Live!$C1)&lt;=1,AQ57*2*preE_Tx_Live!$C1/SUM(preE_Tx_Cadav!$C1,preE_Tx_Live!$C1),1)</f>
        <v>0.3</v>
      </c>
      <c r="AA57" s="55">
        <f>IF(AR57*2*preE_Tx_Live!$C1/SUM(preE_Tx_Cadav!$C1,preE_Tx_Live!$C1)&lt;=1,AR57*2*preE_Tx_Live!$C1/SUM(preE_Tx_Cadav!$C1,preE_Tx_Live!$C1),1)</f>
        <v>0.3</v>
      </c>
      <c r="AB57" s="55">
        <f>IF(AS57*2*preE_Tx_Live!$C1/SUM(preE_Tx_Cadav!$C1,preE_Tx_Live!$C1)&lt;=1,AS57*2*preE_Tx_Live!$C1/SUM(preE_Tx_Cadav!$C1,preE_Tx_Live!$C1),1)</f>
        <v>0.3</v>
      </c>
      <c r="AC57" s="55">
        <f>IF(AT57*2*preE_Tx_Live!$C1/SUM(preE_Tx_Cadav!$C1,preE_Tx_Live!$C1)&lt;=1,AT57*2*preE_Tx_Live!$C1/SUM(preE_Tx_Cadav!$C1,preE_Tx_Live!$C1),1)</f>
        <v>0.3</v>
      </c>
      <c r="AD57" s="55">
        <f>IF(AU57*2*preE_Tx_Live!$C1/SUM(preE_Tx_Cadav!$C1,preE_Tx_Live!$C1)&lt;=1,AU57*2*preE_Tx_Live!$C1/SUM(preE_Tx_Cadav!$C1,preE_Tx_Live!$C1),1)</f>
        <v>0.3</v>
      </c>
      <c r="AE57" s="55">
        <f>IF(AV57*2*preE_Tx_Live!$C1/SUM(preE_Tx_Cadav!$C1,preE_Tx_Live!$C1)&lt;=1,AV57*2*preE_Tx_Live!$C1/SUM(preE_Tx_Cadav!$C1,preE_Tx_Live!$C1),1)</f>
        <v>0.3</v>
      </c>
      <c r="AG57" s="2" t="s">
        <v>66</v>
      </c>
      <c r="AH57" s="2">
        <v>1</v>
      </c>
      <c r="AI57" s="2">
        <f>AVERAGE(preE_Tx_Cadav!C1,preE_Tx_Live!C1)</f>
        <v>0.2</v>
      </c>
      <c r="AJ57" s="2">
        <f>IF('Scenario Inputs'!I$99="",simPy_sheet!$AI$57,'Scenario Inputs'!I$99)</f>
        <v>0.2</v>
      </c>
      <c r="AK57" s="2">
        <f>IF('Scenario Inputs'!J$99="",simPy_sheet!$AI$57,'Scenario Inputs'!J$99)</f>
        <v>0.2</v>
      </c>
      <c r="AL57" s="2">
        <f>IF('Scenario Inputs'!K$99="",simPy_sheet!$AI$57,'Scenario Inputs'!K$99)</f>
        <v>0.2</v>
      </c>
      <c r="AM57" s="2">
        <f>IF('Scenario Inputs'!L$99="",simPy_sheet!$AI$57,'Scenario Inputs'!L$99)</f>
        <v>0.2</v>
      </c>
      <c r="AN57" s="2">
        <f>IF('Scenario Inputs'!M$99="",simPy_sheet!$AI$57,'Scenario Inputs'!M$99)</f>
        <v>0.2</v>
      </c>
      <c r="AO57" s="2">
        <f>IF('Scenario Inputs'!N$99="",simPy_sheet!$AI$57,'Scenario Inputs'!N$99)</f>
        <v>0.2</v>
      </c>
      <c r="AP57" s="2">
        <f>IF('Scenario Inputs'!O$99="",simPy_sheet!$AI$57,'Scenario Inputs'!O$99)</f>
        <v>0.2</v>
      </c>
      <c r="AQ57" s="2">
        <f>IF('Scenario Inputs'!P$99="",simPy_sheet!$AI$57,'Scenario Inputs'!P$99)</f>
        <v>0.2</v>
      </c>
      <c r="AR57" s="2">
        <f>IF('Scenario Inputs'!Q$99="",simPy_sheet!$AI$57,'Scenario Inputs'!Q$99)</f>
        <v>0.2</v>
      </c>
      <c r="AS57" s="2">
        <f>IF('Scenario Inputs'!R$99="",simPy_sheet!$AI$57,'Scenario Inputs'!R$99)</f>
        <v>0.2</v>
      </c>
      <c r="AT57" s="2">
        <f>IF('Scenario Inputs'!S$99="",simPy_sheet!$AI$57,'Scenario Inputs'!S$99)</f>
        <v>0.2</v>
      </c>
      <c r="AU57" s="2">
        <f>IF('Scenario Inputs'!T$99="",simPy_sheet!$AI$57,'Scenario Inputs'!T$99)</f>
        <v>0.2</v>
      </c>
      <c r="AV57" s="2">
        <f>IF('Scenario Inputs'!U$99="",simPy_sheet!$AI$57,'Scenario Inputs'!U$99)</f>
        <v>0.2</v>
      </c>
    </row>
    <row r="58" spans="1:48">
      <c r="A58" s="4" t="s">
        <v>66</v>
      </c>
      <c r="B58" s="4">
        <v>2</v>
      </c>
      <c r="C58" s="55">
        <f>IF(AJ58*2*preE_Tx_Live!$C2/SUM(preE_Tx_Cadav!$C2,preE_Tx_Live!$C2)&lt;=1,AJ58*2*preE_Tx_Cadav!$C2/SUM(preE_Tx_Cadav!$C2,preE_Tx_Live!$C2),2*AJ58-1)</f>
        <v>0.10000000000000002</v>
      </c>
      <c r="D58" s="55">
        <f>IF(AK58*2*preE_Tx_Live!$C2/SUM(preE_Tx_Cadav!$C2,preE_Tx_Live!$C2)&lt;=1,AK58*2*preE_Tx_Cadav!$C2/SUM(preE_Tx_Cadav!$C2,preE_Tx_Live!$C2),2*AK58-1)</f>
        <v>0.10000000000000002</v>
      </c>
      <c r="E58" s="55">
        <f>IF(AL58*2*preE_Tx_Live!$C2/SUM(preE_Tx_Cadav!$C2,preE_Tx_Live!$C2)&lt;=1,AL58*2*preE_Tx_Cadav!$C2/SUM(preE_Tx_Cadav!$C2,preE_Tx_Live!$C2),2*AL58-1)</f>
        <v>0.10000000000000002</v>
      </c>
      <c r="F58" s="55">
        <f>IF(AM58*2*preE_Tx_Live!$C2/SUM(preE_Tx_Cadav!$C2,preE_Tx_Live!$C2)&lt;=1,AM58*2*preE_Tx_Cadav!$C2/SUM(preE_Tx_Cadav!$C2,preE_Tx_Live!$C2),2*AM58-1)</f>
        <v>0.10000000000000002</v>
      </c>
      <c r="G58" s="55">
        <f>IF(AN58*2*preE_Tx_Live!$C2/SUM(preE_Tx_Cadav!$C2,preE_Tx_Live!$C2)&lt;=1,AN58*2*preE_Tx_Cadav!$C2/SUM(preE_Tx_Cadav!$C2,preE_Tx_Live!$C2),2*AN58-1)</f>
        <v>0.10000000000000002</v>
      </c>
      <c r="H58" s="55">
        <f>IF(AO58*2*preE_Tx_Live!$C2/SUM(preE_Tx_Cadav!$C2,preE_Tx_Live!$C2)&lt;=1,AO58*2*preE_Tx_Cadav!$C2/SUM(preE_Tx_Cadav!$C2,preE_Tx_Live!$C2),2*AO58-1)</f>
        <v>0.10000000000000002</v>
      </c>
      <c r="I58" s="55">
        <f>IF(AP58*2*preE_Tx_Live!$C2/SUM(preE_Tx_Cadav!$C2,preE_Tx_Live!$C2)&lt;=1,AP58*2*preE_Tx_Cadav!$C2/SUM(preE_Tx_Cadav!$C2,preE_Tx_Live!$C2),2*AP58-1)</f>
        <v>0.10000000000000002</v>
      </c>
      <c r="J58" s="55">
        <f>IF(AQ58*2*preE_Tx_Live!$C2/SUM(preE_Tx_Cadav!$C2,preE_Tx_Live!$C2)&lt;=1,AQ58*2*preE_Tx_Cadav!$C2/SUM(preE_Tx_Cadav!$C2,preE_Tx_Live!$C2),2*AQ58-1)</f>
        <v>0.10000000000000002</v>
      </c>
      <c r="K58" s="55">
        <f>IF(AR58*2*preE_Tx_Live!$C2/SUM(preE_Tx_Cadav!$C2,preE_Tx_Live!$C2)&lt;=1,AR58*2*preE_Tx_Cadav!$C2/SUM(preE_Tx_Cadav!$C2,preE_Tx_Live!$C2),2*AR58-1)</f>
        <v>0.10000000000000002</v>
      </c>
      <c r="L58" s="55">
        <f>IF(AS58*2*preE_Tx_Live!$C2/SUM(preE_Tx_Cadav!$C2,preE_Tx_Live!$C2)&lt;=1,AS58*2*preE_Tx_Cadav!$C2/SUM(preE_Tx_Cadav!$C2,preE_Tx_Live!$C2),2*AS58-1)</f>
        <v>0.10000000000000002</v>
      </c>
      <c r="M58" s="55">
        <f>IF(AT58*2*preE_Tx_Live!$C2/SUM(preE_Tx_Cadav!$C2,preE_Tx_Live!$C2)&lt;=1,AT58*2*preE_Tx_Cadav!$C2/SUM(preE_Tx_Cadav!$C2,preE_Tx_Live!$C2),2*AT58-1)</f>
        <v>0.10000000000000002</v>
      </c>
      <c r="N58" s="55">
        <f>IF(AU58*2*preE_Tx_Live!$C2/SUM(preE_Tx_Cadav!$C2,preE_Tx_Live!$C2)&lt;=1,AU58*2*preE_Tx_Cadav!$C2/SUM(preE_Tx_Cadav!$C2,preE_Tx_Live!$C2),2*AU58-1)</f>
        <v>0.10000000000000002</v>
      </c>
      <c r="O58" s="55">
        <f>IF(AV58*2*preE_Tx_Live!$C2/SUM(preE_Tx_Cadav!$C2,preE_Tx_Live!$C2)&lt;=1,AV58*2*preE_Tx_Cadav!$C2/SUM(preE_Tx_Cadav!$C2,preE_Tx_Live!$C2),2*AV58-1)</f>
        <v>0.10000000000000002</v>
      </c>
      <c r="Q58" s="4" t="s">
        <v>66</v>
      </c>
      <c r="R58" s="53">
        <v>2</v>
      </c>
      <c r="S58" s="55">
        <f>IF(AJ58*2*preE_Tx_Live!$C2/SUM(preE_Tx_Cadav!$C2,preE_Tx_Live!$C2)&lt;=1,AJ58*2*preE_Tx_Live!$C2/SUM(preE_Tx_Cadav!$C2,preE_Tx_Live!$C2),1)</f>
        <v>0.3</v>
      </c>
      <c r="T58" s="55">
        <f>IF(AK58*2*preE_Tx_Live!$C2/SUM(preE_Tx_Cadav!$C2,preE_Tx_Live!$C2)&lt;=1,AK58*2*preE_Tx_Live!$C2/SUM(preE_Tx_Cadav!$C2,preE_Tx_Live!$C2),1)</f>
        <v>0.3</v>
      </c>
      <c r="U58" s="55">
        <f>IF(AL58*2*preE_Tx_Live!$C2/SUM(preE_Tx_Cadav!$C2,preE_Tx_Live!$C2)&lt;=1,AL58*2*preE_Tx_Live!$C2/SUM(preE_Tx_Cadav!$C2,preE_Tx_Live!$C2),1)</f>
        <v>0.3</v>
      </c>
      <c r="V58" s="55">
        <f>IF(AM58*2*preE_Tx_Live!$C2/SUM(preE_Tx_Cadav!$C2,preE_Tx_Live!$C2)&lt;=1,AM58*2*preE_Tx_Live!$C2/SUM(preE_Tx_Cadav!$C2,preE_Tx_Live!$C2),1)</f>
        <v>0.3</v>
      </c>
      <c r="W58" s="55">
        <f>IF(AN58*2*preE_Tx_Live!$C2/SUM(preE_Tx_Cadav!$C2,preE_Tx_Live!$C2)&lt;=1,AN58*2*preE_Tx_Live!$C2/SUM(preE_Tx_Cadav!$C2,preE_Tx_Live!$C2),1)</f>
        <v>0.3</v>
      </c>
      <c r="X58" s="55">
        <f>IF(AO58*2*preE_Tx_Live!$C2/SUM(preE_Tx_Cadav!$C2,preE_Tx_Live!$C2)&lt;=1,AO58*2*preE_Tx_Live!$C2/SUM(preE_Tx_Cadav!$C2,preE_Tx_Live!$C2),1)</f>
        <v>0.3</v>
      </c>
      <c r="Y58" s="55">
        <f>IF(AP58*2*preE_Tx_Live!$C2/SUM(preE_Tx_Cadav!$C2,preE_Tx_Live!$C2)&lt;=1,AP58*2*preE_Tx_Live!$C2/SUM(preE_Tx_Cadav!$C2,preE_Tx_Live!$C2),1)</f>
        <v>0.3</v>
      </c>
      <c r="Z58" s="55">
        <f>IF(AQ58*2*preE_Tx_Live!$C2/SUM(preE_Tx_Cadav!$C2,preE_Tx_Live!$C2)&lt;=1,AQ58*2*preE_Tx_Live!$C2/SUM(preE_Tx_Cadav!$C2,preE_Tx_Live!$C2),1)</f>
        <v>0.3</v>
      </c>
      <c r="AA58" s="55">
        <f>IF(AR58*2*preE_Tx_Live!$C2/SUM(preE_Tx_Cadav!$C2,preE_Tx_Live!$C2)&lt;=1,AR58*2*preE_Tx_Live!$C2/SUM(preE_Tx_Cadav!$C2,preE_Tx_Live!$C2),1)</f>
        <v>0.3</v>
      </c>
      <c r="AB58" s="55">
        <f>IF(AS58*2*preE_Tx_Live!$C2/SUM(preE_Tx_Cadav!$C2,preE_Tx_Live!$C2)&lt;=1,AS58*2*preE_Tx_Live!$C2/SUM(preE_Tx_Cadav!$C2,preE_Tx_Live!$C2),1)</f>
        <v>0.3</v>
      </c>
      <c r="AC58" s="55">
        <f>IF(AT58*2*preE_Tx_Live!$C2/SUM(preE_Tx_Cadav!$C2,preE_Tx_Live!$C2)&lt;=1,AT58*2*preE_Tx_Live!$C2/SUM(preE_Tx_Cadav!$C2,preE_Tx_Live!$C2),1)</f>
        <v>0.3</v>
      </c>
      <c r="AD58" s="55">
        <f>IF(AU58*2*preE_Tx_Live!$C2/SUM(preE_Tx_Cadav!$C2,preE_Tx_Live!$C2)&lt;=1,AU58*2*preE_Tx_Live!$C2/SUM(preE_Tx_Cadav!$C2,preE_Tx_Live!$C2),1)</f>
        <v>0.3</v>
      </c>
      <c r="AE58" s="55">
        <f>IF(AV58*2*preE_Tx_Live!$C2/SUM(preE_Tx_Cadav!$C2,preE_Tx_Live!$C2)&lt;=1,AV58*2*preE_Tx_Live!$C2/SUM(preE_Tx_Cadav!$C2,preE_Tx_Live!$C2),1)</f>
        <v>0.3</v>
      </c>
      <c r="AG58" s="2" t="s">
        <v>66</v>
      </c>
      <c r="AH58" s="2">
        <v>2</v>
      </c>
      <c r="AI58" s="2">
        <f>AVERAGE(preE_Tx_Cadav!C2,preE_Tx_Live!C2)</f>
        <v>0.2</v>
      </c>
      <c r="AJ58" s="2">
        <f>IF('Scenario Inputs'!I$99="",simPy_sheet!$AI$57,'Scenario Inputs'!I$99)</f>
        <v>0.2</v>
      </c>
      <c r="AK58" s="2">
        <f>IF('Scenario Inputs'!J$99="",simPy_sheet!$AI$57,'Scenario Inputs'!J$99)</f>
        <v>0.2</v>
      </c>
      <c r="AL58" s="2">
        <f>IF('Scenario Inputs'!K$99="",simPy_sheet!$AI$57,'Scenario Inputs'!K$99)</f>
        <v>0.2</v>
      </c>
      <c r="AM58" s="2">
        <f>IF('Scenario Inputs'!L$99="",simPy_sheet!$AI$57,'Scenario Inputs'!L$99)</f>
        <v>0.2</v>
      </c>
      <c r="AN58" s="2">
        <f>IF('Scenario Inputs'!M$99="",simPy_sheet!$AI$57,'Scenario Inputs'!M$99)</f>
        <v>0.2</v>
      </c>
      <c r="AO58" s="2">
        <f>IF('Scenario Inputs'!N$99="",simPy_sheet!$AI$57,'Scenario Inputs'!N$99)</f>
        <v>0.2</v>
      </c>
      <c r="AP58" s="2">
        <f>IF('Scenario Inputs'!O$99="",simPy_sheet!$AI$57,'Scenario Inputs'!O$99)</f>
        <v>0.2</v>
      </c>
      <c r="AQ58" s="2">
        <f>IF('Scenario Inputs'!P$99="",simPy_sheet!$AI$57,'Scenario Inputs'!P$99)</f>
        <v>0.2</v>
      </c>
      <c r="AR58" s="2">
        <f>IF('Scenario Inputs'!Q$99="",simPy_sheet!$AI$57,'Scenario Inputs'!Q$99)</f>
        <v>0.2</v>
      </c>
      <c r="AS58" s="2">
        <f>IF('Scenario Inputs'!R$99="",simPy_sheet!$AI$57,'Scenario Inputs'!R$99)</f>
        <v>0.2</v>
      </c>
      <c r="AT58" s="2">
        <f>IF('Scenario Inputs'!S$99="",simPy_sheet!$AI$57,'Scenario Inputs'!S$99)</f>
        <v>0.2</v>
      </c>
      <c r="AU58" s="2">
        <f>IF('Scenario Inputs'!T$99="",simPy_sheet!$AI$57,'Scenario Inputs'!T$99)</f>
        <v>0.2</v>
      </c>
      <c r="AV58" s="2">
        <f>IF('Scenario Inputs'!U$99="",simPy_sheet!$AI$57,'Scenario Inputs'!U$99)</f>
        <v>0.2</v>
      </c>
    </row>
    <row r="59" spans="1:48">
      <c r="A59" s="4" t="s">
        <v>66</v>
      </c>
      <c r="B59" s="4">
        <v>3</v>
      </c>
      <c r="C59" s="55">
        <f>IF(AJ59*2*preE_Tx_Live!$C3/SUM(preE_Tx_Cadav!$C3,preE_Tx_Live!$C3)&lt;=1,AJ59*2*preE_Tx_Cadav!$C3/SUM(preE_Tx_Cadav!$C3,preE_Tx_Live!$C3),2*AJ59-1)</f>
        <v>0.10000000000000002</v>
      </c>
      <c r="D59" s="55">
        <f>IF(AK59*2*preE_Tx_Live!$C3/SUM(preE_Tx_Cadav!$C3,preE_Tx_Live!$C3)&lt;=1,AK59*2*preE_Tx_Cadav!$C3/SUM(preE_Tx_Cadav!$C3,preE_Tx_Live!$C3),2*AK59-1)</f>
        <v>0.10000000000000002</v>
      </c>
      <c r="E59" s="55">
        <f>IF(AL59*2*preE_Tx_Live!$C3/SUM(preE_Tx_Cadav!$C3,preE_Tx_Live!$C3)&lt;=1,AL59*2*preE_Tx_Cadav!$C3/SUM(preE_Tx_Cadav!$C3,preE_Tx_Live!$C3),2*AL59-1)</f>
        <v>0.10000000000000002</v>
      </c>
      <c r="F59" s="55">
        <f>IF(AM59*2*preE_Tx_Live!$C3/SUM(preE_Tx_Cadav!$C3,preE_Tx_Live!$C3)&lt;=1,AM59*2*preE_Tx_Cadav!$C3/SUM(preE_Tx_Cadav!$C3,preE_Tx_Live!$C3),2*AM59-1)</f>
        <v>0.10000000000000002</v>
      </c>
      <c r="G59" s="55">
        <f>IF(AN59*2*preE_Tx_Live!$C3/SUM(preE_Tx_Cadav!$C3,preE_Tx_Live!$C3)&lt;=1,AN59*2*preE_Tx_Cadav!$C3/SUM(preE_Tx_Cadav!$C3,preE_Tx_Live!$C3),2*AN59-1)</f>
        <v>0.10000000000000002</v>
      </c>
      <c r="H59" s="55">
        <f>IF(AO59*2*preE_Tx_Live!$C3/SUM(preE_Tx_Cadav!$C3,preE_Tx_Live!$C3)&lt;=1,AO59*2*preE_Tx_Cadav!$C3/SUM(preE_Tx_Cadav!$C3,preE_Tx_Live!$C3),2*AO59-1)</f>
        <v>0.10000000000000002</v>
      </c>
      <c r="I59" s="55">
        <f>IF(AP59*2*preE_Tx_Live!$C3/SUM(preE_Tx_Cadav!$C3,preE_Tx_Live!$C3)&lt;=1,AP59*2*preE_Tx_Cadav!$C3/SUM(preE_Tx_Cadav!$C3,preE_Tx_Live!$C3),2*AP59-1)</f>
        <v>0.10000000000000002</v>
      </c>
      <c r="J59" s="55">
        <f>IF(AQ59*2*preE_Tx_Live!$C3/SUM(preE_Tx_Cadav!$C3,preE_Tx_Live!$C3)&lt;=1,AQ59*2*preE_Tx_Cadav!$C3/SUM(preE_Tx_Cadav!$C3,preE_Tx_Live!$C3),2*AQ59-1)</f>
        <v>0.10000000000000002</v>
      </c>
      <c r="K59" s="55">
        <f>IF(AR59*2*preE_Tx_Live!$C3/SUM(preE_Tx_Cadav!$C3,preE_Tx_Live!$C3)&lt;=1,AR59*2*preE_Tx_Cadav!$C3/SUM(preE_Tx_Cadav!$C3,preE_Tx_Live!$C3),2*AR59-1)</f>
        <v>0.10000000000000002</v>
      </c>
      <c r="L59" s="55">
        <f>IF(AS59*2*preE_Tx_Live!$C3/SUM(preE_Tx_Cadav!$C3,preE_Tx_Live!$C3)&lt;=1,AS59*2*preE_Tx_Cadav!$C3/SUM(preE_Tx_Cadav!$C3,preE_Tx_Live!$C3),2*AS59-1)</f>
        <v>0.10000000000000002</v>
      </c>
      <c r="M59" s="55">
        <f>IF(AT59*2*preE_Tx_Live!$C3/SUM(preE_Tx_Cadav!$C3,preE_Tx_Live!$C3)&lt;=1,AT59*2*preE_Tx_Cadav!$C3/SUM(preE_Tx_Cadav!$C3,preE_Tx_Live!$C3),2*AT59-1)</f>
        <v>0.10000000000000002</v>
      </c>
      <c r="N59" s="55">
        <f>IF(AU59*2*preE_Tx_Live!$C3/SUM(preE_Tx_Cadav!$C3,preE_Tx_Live!$C3)&lt;=1,AU59*2*preE_Tx_Cadav!$C3/SUM(preE_Tx_Cadav!$C3,preE_Tx_Live!$C3),2*AU59-1)</f>
        <v>0.10000000000000002</v>
      </c>
      <c r="O59" s="55">
        <f>IF(AV59*2*preE_Tx_Live!$C3/SUM(preE_Tx_Cadav!$C3,preE_Tx_Live!$C3)&lt;=1,AV59*2*preE_Tx_Cadav!$C3/SUM(preE_Tx_Cadav!$C3,preE_Tx_Live!$C3),2*AV59-1)</f>
        <v>0.10000000000000002</v>
      </c>
      <c r="Q59" s="4" t="s">
        <v>66</v>
      </c>
      <c r="R59" s="53">
        <v>3</v>
      </c>
      <c r="S59" s="55">
        <f>IF(AJ59*2*preE_Tx_Live!$C3/SUM(preE_Tx_Cadav!$C3,preE_Tx_Live!$C3)&lt;=1,AJ59*2*preE_Tx_Live!$C3/SUM(preE_Tx_Cadav!$C3,preE_Tx_Live!$C3),1)</f>
        <v>0.3</v>
      </c>
      <c r="T59" s="55">
        <f>IF(AK59*2*preE_Tx_Live!$C3/SUM(preE_Tx_Cadav!$C3,preE_Tx_Live!$C3)&lt;=1,AK59*2*preE_Tx_Live!$C3/SUM(preE_Tx_Cadav!$C3,preE_Tx_Live!$C3),1)</f>
        <v>0.3</v>
      </c>
      <c r="U59" s="55">
        <f>IF(AL59*2*preE_Tx_Live!$C3/SUM(preE_Tx_Cadav!$C3,preE_Tx_Live!$C3)&lt;=1,AL59*2*preE_Tx_Live!$C3/SUM(preE_Tx_Cadav!$C3,preE_Tx_Live!$C3),1)</f>
        <v>0.3</v>
      </c>
      <c r="V59" s="55">
        <f>IF(AM59*2*preE_Tx_Live!$C3/SUM(preE_Tx_Cadav!$C3,preE_Tx_Live!$C3)&lt;=1,AM59*2*preE_Tx_Live!$C3/SUM(preE_Tx_Cadav!$C3,preE_Tx_Live!$C3),1)</f>
        <v>0.3</v>
      </c>
      <c r="W59" s="55">
        <f>IF(AN59*2*preE_Tx_Live!$C3/SUM(preE_Tx_Cadav!$C3,preE_Tx_Live!$C3)&lt;=1,AN59*2*preE_Tx_Live!$C3/SUM(preE_Tx_Cadav!$C3,preE_Tx_Live!$C3),1)</f>
        <v>0.3</v>
      </c>
      <c r="X59" s="55">
        <f>IF(AO59*2*preE_Tx_Live!$C3/SUM(preE_Tx_Cadav!$C3,preE_Tx_Live!$C3)&lt;=1,AO59*2*preE_Tx_Live!$C3/SUM(preE_Tx_Cadav!$C3,preE_Tx_Live!$C3),1)</f>
        <v>0.3</v>
      </c>
      <c r="Y59" s="55">
        <f>IF(AP59*2*preE_Tx_Live!$C3/SUM(preE_Tx_Cadav!$C3,preE_Tx_Live!$C3)&lt;=1,AP59*2*preE_Tx_Live!$C3/SUM(preE_Tx_Cadav!$C3,preE_Tx_Live!$C3),1)</f>
        <v>0.3</v>
      </c>
      <c r="Z59" s="55">
        <f>IF(AQ59*2*preE_Tx_Live!$C3/SUM(preE_Tx_Cadav!$C3,preE_Tx_Live!$C3)&lt;=1,AQ59*2*preE_Tx_Live!$C3/SUM(preE_Tx_Cadav!$C3,preE_Tx_Live!$C3),1)</f>
        <v>0.3</v>
      </c>
      <c r="AA59" s="55">
        <f>IF(AR59*2*preE_Tx_Live!$C3/SUM(preE_Tx_Cadav!$C3,preE_Tx_Live!$C3)&lt;=1,AR59*2*preE_Tx_Live!$C3/SUM(preE_Tx_Cadav!$C3,preE_Tx_Live!$C3),1)</f>
        <v>0.3</v>
      </c>
      <c r="AB59" s="55">
        <f>IF(AS59*2*preE_Tx_Live!$C3/SUM(preE_Tx_Cadav!$C3,preE_Tx_Live!$C3)&lt;=1,AS59*2*preE_Tx_Live!$C3/SUM(preE_Tx_Cadav!$C3,preE_Tx_Live!$C3),1)</f>
        <v>0.3</v>
      </c>
      <c r="AC59" s="55">
        <f>IF(AT59*2*preE_Tx_Live!$C3/SUM(preE_Tx_Cadav!$C3,preE_Tx_Live!$C3)&lt;=1,AT59*2*preE_Tx_Live!$C3/SUM(preE_Tx_Cadav!$C3,preE_Tx_Live!$C3),1)</f>
        <v>0.3</v>
      </c>
      <c r="AD59" s="55">
        <f>IF(AU59*2*preE_Tx_Live!$C3/SUM(preE_Tx_Cadav!$C3,preE_Tx_Live!$C3)&lt;=1,AU59*2*preE_Tx_Live!$C3/SUM(preE_Tx_Cadav!$C3,preE_Tx_Live!$C3),1)</f>
        <v>0.3</v>
      </c>
      <c r="AE59" s="55">
        <f>IF(AV59*2*preE_Tx_Live!$C3/SUM(preE_Tx_Cadav!$C3,preE_Tx_Live!$C3)&lt;=1,AV59*2*preE_Tx_Live!$C3/SUM(preE_Tx_Cadav!$C3,preE_Tx_Live!$C3),1)</f>
        <v>0.3</v>
      </c>
      <c r="AG59" s="2" t="s">
        <v>66</v>
      </c>
      <c r="AH59" s="2">
        <v>3</v>
      </c>
      <c r="AI59" s="2">
        <f>AVERAGE(preE_Tx_Cadav!C3,preE_Tx_Live!C3)</f>
        <v>0.2</v>
      </c>
      <c r="AJ59" s="2">
        <f>IF('Scenario Inputs'!I$99="",simPy_sheet!$AI$57,'Scenario Inputs'!I$99)</f>
        <v>0.2</v>
      </c>
      <c r="AK59" s="2">
        <f>IF('Scenario Inputs'!J$99="",simPy_sheet!$AI$57,'Scenario Inputs'!J$99)</f>
        <v>0.2</v>
      </c>
      <c r="AL59" s="2">
        <f>IF('Scenario Inputs'!K$99="",simPy_sheet!$AI$57,'Scenario Inputs'!K$99)</f>
        <v>0.2</v>
      </c>
      <c r="AM59" s="2">
        <f>IF('Scenario Inputs'!L$99="",simPy_sheet!$AI$57,'Scenario Inputs'!L$99)</f>
        <v>0.2</v>
      </c>
      <c r="AN59" s="2">
        <f>IF('Scenario Inputs'!M$99="",simPy_sheet!$AI$57,'Scenario Inputs'!M$99)</f>
        <v>0.2</v>
      </c>
      <c r="AO59" s="2">
        <f>IF('Scenario Inputs'!N$99="",simPy_sheet!$AI$57,'Scenario Inputs'!N$99)</f>
        <v>0.2</v>
      </c>
      <c r="AP59" s="2">
        <f>IF('Scenario Inputs'!O$99="",simPy_sheet!$AI$57,'Scenario Inputs'!O$99)</f>
        <v>0.2</v>
      </c>
      <c r="AQ59" s="2">
        <f>IF('Scenario Inputs'!P$99="",simPy_sheet!$AI$57,'Scenario Inputs'!P$99)</f>
        <v>0.2</v>
      </c>
      <c r="AR59" s="2">
        <f>IF('Scenario Inputs'!Q$99="",simPy_sheet!$AI$57,'Scenario Inputs'!Q$99)</f>
        <v>0.2</v>
      </c>
      <c r="AS59" s="2">
        <f>IF('Scenario Inputs'!R$99="",simPy_sheet!$AI$57,'Scenario Inputs'!R$99)</f>
        <v>0.2</v>
      </c>
      <c r="AT59" s="2">
        <f>IF('Scenario Inputs'!S$99="",simPy_sheet!$AI$57,'Scenario Inputs'!S$99)</f>
        <v>0.2</v>
      </c>
      <c r="AU59" s="2">
        <f>IF('Scenario Inputs'!T$99="",simPy_sheet!$AI$57,'Scenario Inputs'!T$99)</f>
        <v>0.2</v>
      </c>
      <c r="AV59" s="2">
        <f>IF('Scenario Inputs'!U$99="",simPy_sheet!$AI$57,'Scenario Inputs'!U$99)</f>
        <v>0.2</v>
      </c>
    </row>
    <row r="60" spans="1:48">
      <c r="A60" s="4" t="s">
        <v>66</v>
      </c>
      <c r="B60" s="4">
        <v>4</v>
      </c>
      <c r="C60" s="55">
        <f>IF(AJ60*2*preE_Tx_Live!$C4/SUM(preE_Tx_Cadav!$C4,preE_Tx_Live!$C4)&lt;=1,AJ60*2*preE_Tx_Cadav!$C4/SUM(preE_Tx_Cadav!$C4,preE_Tx_Live!$C4),2*AJ60-1)</f>
        <v>0.10000000000000002</v>
      </c>
      <c r="D60" s="55">
        <f>IF(AK60*2*preE_Tx_Live!$C4/SUM(preE_Tx_Cadav!$C4,preE_Tx_Live!$C4)&lt;=1,AK60*2*preE_Tx_Cadav!$C4/SUM(preE_Tx_Cadav!$C4,preE_Tx_Live!$C4),2*AK60-1)</f>
        <v>0.10000000000000002</v>
      </c>
      <c r="E60" s="55">
        <f>IF(AL60*2*preE_Tx_Live!$C4/SUM(preE_Tx_Cadav!$C4,preE_Tx_Live!$C4)&lt;=1,AL60*2*preE_Tx_Cadav!$C4/SUM(preE_Tx_Cadav!$C4,preE_Tx_Live!$C4),2*AL60-1)</f>
        <v>0.10000000000000002</v>
      </c>
      <c r="F60" s="55">
        <f>IF(AM60*2*preE_Tx_Live!$C4/SUM(preE_Tx_Cadav!$C4,preE_Tx_Live!$C4)&lt;=1,AM60*2*preE_Tx_Cadav!$C4/SUM(preE_Tx_Cadav!$C4,preE_Tx_Live!$C4),2*AM60-1)</f>
        <v>0.10000000000000002</v>
      </c>
      <c r="G60" s="55">
        <f>IF(AN60*2*preE_Tx_Live!$C4/SUM(preE_Tx_Cadav!$C4,preE_Tx_Live!$C4)&lt;=1,AN60*2*preE_Tx_Cadav!$C4/SUM(preE_Tx_Cadav!$C4,preE_Tx_Live!$C4),2*AN60-1)</f>
        <v>0.10000000000000002</v>
      </c>
      <c r="H60" s="55">
        <f>IF(AO60*2*preE_Tx_Live!$C4/SUM(preE_Tx_Cadav!$C4,preE_Tx_Live!$C4)&lt;=1,AO60*2*preE_Tx_Cadav!$C4/SUM(preE_Tx_Cadav!$C4,preE_Tx_Live!$C4),2*AO60-1)</f>
        <v>0.10000000000000002</v>
      </c>
      <c r="I60" s="55">
        <f>IF(AP60*2*preE_Tx_Live!$C4/SUM(preE_Tx_Cadav!$C4,preE_Tx_Live!$C4)&lt;=1,AP60*2*preE_Tx_Cadav!$C4/SUM(preE_Tx_Cadav!$C4,preE_Tx_Live!$C4),2*AP60-1)</f>
        <v>0.10000000000000002</v>
      </c>
      <c r="J60" s="55">
        <f>IF(AQ60*2*preE_Tx_Live!$C4/SUM(preE_Tx_Cadav!$C4,preE_Tx_Live!$C4)&lt;=1,AQ60*2*preE_Tx_Cadav!$C4/SUM(preE_Tx_Cadav!$C4,preE_Tx_Live!$C4),2*AQ60-1)</f>
        <v>0.10000000000000002</v>
      </c>
      <c r="K60" s="55">
        <f>IF(AR60*2*preE_Tx_Live!$C4/SUM(preE_Tx_Cadav!$C4,preE_Tx_Live!$C4)&lt;=1,AR60*2*preE_Tx_Cadav!$C4/SUM(preE_Tx_Cadav!$C4,preE_Tx_Live!$C4),2*AR60-1)</f>
        <v>0.10000000000000002</v>
      </c>
      <c r="L60" s="55">
        <f>IF(AS60*2*preE_Tx_Live!$C4/SUM(preE_Tx_Cadav!$C4,preE_Tx_Live!$C4)&lt;=1,AS60*2*preE_Tx_Cadav!$C4/SUM(preE_Tx_Cadav!$C4,preE_Tx_Live!$C4),2*AS60-1)</f>
        <v>0.10000000000000002</v>
      </c>
      <c r="M60" s="55">
        <f>IF(AT60*2*preE_Tx_Live!$C4/SUM(preE_Tx_Cadav!$C4,preE_Tx_Live!$C4)&lt;=1,AT60*2*preE_Tx_Cadav!$C4/SUM(preE_Tx_Cadav!$C4,preE_Tx_Live!$C4),2*AT60-1)</f>
        <v>0.10000000000000002</v>
      </c>
      <c r="N60" s="55">
        <f>IF(AU60*2*preE_Tx_Live!$C4/SUM(preE_Tx_Cadav!$C4,preE_Tx_Live!$C4)&lt;=1,AU60*2*preE_Tx_Cadav!$C4/SUM(preE_Tx_Cadav!$C4,preE_Tx_Live!$C4),2*AU60-1)</f>
        <v>0.10000000000000002</v>
      </c>
      <c r="O60" s="55">
        <f>IF(AV60*2*preE_Tx_Live!$C4/SUM(preE_Tx_Cadav!$C4,preE_Tx_Live!$C4)&lt;=1,AV60*2*preE_Tx_Cadav!$C4/SUM(preE_Tx_Cadav!$C4,preE_Tx_Live!$C4),2*AV60-1)</f>
        <v>0.10000000000000002</v>
      </c>
      <c r="Q60" s="4" t="s">
        <v>66</v>
      </c>
      <c r="R60" s="53">
        <v>4</v>
      </c>
      <c r="S60" s="55">
        <f>IF(AJ60*2*preE_Tx_Live!$C4/SUM(preE_Tx_Cadav!$C4,preE_Tx_Live!$C4)&lt;=1,AJ60*2*preE_Tx_Live!$C4/SUM(preE_Tx_Cadav!$C4,preE_Tx_Live!$C4),1)</f>
        <v>0.3</v>
      </c>
      <c r="T60" s="55">
        <f>IF(AK60*2*preE_Tx_Live!$C4/SUM(preE_Tx_Cadav!$C4,preE_Tx_Live!$C4)&lt;=1,AK60*2*preE_Tx_Live!$C4/SUM(preE_Tx_Cadav!$C4,preE_Tx_Live!$C4),1)</f>
        <v>0.3</v>
      </c>
      <c r="U60" s="55">
        <f>IF(AL60*2*preE_Tx_Live!$C4/SUM(preE_Tx_Cadav!$C4,preE_Tx_Live!$C4)&lt;=1,AL60*2*preE_Tx_Live!$C4/SUM(preE_Tx_Cadav!$C4,preE_Tx_Live!$C4),1)</f>
        <v>0.3</v>
      </c>
      <c r="V60" s="55">
        <f>IF(AM60*2*preE_Tx_Live!$C4/SUM(preE_Tx_Cadav!$C4,preE_Tx_Live!$C4)&lt;=1,AM60*2*preE_Tx_Live!$C4/SUM(preE_Tx_Cadav!$C4,preE_Tx_Live!$C4),1)</f>
        <v>0.3</v>
      </c>
      <c r="W60" s="55">
        <f>IF(AN60*2*preE_Tx_Live!$C4/SUM(preE_Tx_Cadav!$C4,preE_Tx_Live!$C4)&lt;=1,AN60*2*preE_Tx_Live!$C4/SUM(preE_Tx_Cadav!$C4,preE_Tx_Live!$C4),1)</f>
        <v>0.3</v>
      </c>
      <c r="X60" s="55">
        <f>IF(AO60*2*preE_Tx_Live!$C4/SUM(preE_Tx_Cadav!$C4,preE_Tx_Live!$C4)&lt;=1,AO60*2*preE_Tx_Live!$C4/SUM(preE_Tx_Cadav!$C4,preE_Tx_Live!$C4),1)</f>
        <v>0.3</v>
      </c>
      <c r="Y60" s="55">
        <f>IF(AP60*2*preE_Tx_Live!$C4/SUM(preE_Tx_Cadav!$C4,preE_Tx_Live!$C4)&lt;=1,AP60*2*preE_Tx_Live!$C4/SUM(preE_Tx_Cadav!$C4,preE_Tx_Live!$C4),1)</f>
        <v>0.3</v>
      </c>
      <c r="Z60" s="55">
        <f>IF(AQ60*2*preE_Tx_Live!$C4/SUM(preE_Tx_Cadav!$C4,preE_Tx_Live!$C4)&lt;=1,AQ60*2*preE_Tx_Live!$C4/SUM(preE_Tx_Cadav!$C4,preE_Tx_Live!$C4),1)</f>
        <v>0.3</v>
      </c>
      <c r="AA60" s="55">
        <f>IF(AR60*2*preE_Tx_Live!$C4/SUM(preE_Tx_Cadav!$C4,preE_Tx_Live!$C4)&lt;=1,AR60*2*preE_Tx_Live!$C4/SUM(preE_Tx_Cadav!$C4,preE_Tx_Live!$C4),1)</f>
        <v>0.3</v>
      </c>
      <c r="AB60" s="55">
        <f>IF(AS60*2*preE_Tx_Live!$C4/SUM(preE_Tx_Cadav!$C4,preE_Tx_Live!$C4)&lt;=1,AS60*2*preE_Tx_Live!$C4/SUM(preE_Tx_Cadav!$C4,preE_Tx_Live!$C4),1)</f>
        <v>0.3</v>
      </c>
      <c r="AC60" s="55">
        <f>IF(AT60*2*preE_Tx_Live!$C4/SUM(preE_Tx_Cadav!$C4,preE_Tx_Live!$C4)&lt;=1,AT60*2*preE_Tx_Live!$C4/SUM(preE_Tx_Cadav!$C4,preE_Tx_Live!$C4),1)</f>
        <v>0.3</v>
      </c>
      <c r="AD60" s="55">
        <f>IF(AU60*2*preE_Tx_Live!$C4/SUM(preE_Tx_Cadav!$C4,preE_Tx_Live!$C4)&lt;=1,AU60*2*preE_Tx_Live!$C4/SUM(preE_Tx_Cadav!$C4,preE_Tx_Live!$C4),1)</f>
        <v>0.3</v>
      </c>
      <c r="AE60" s="55">
        <f>IF(AV60*2*preE_Tx_Live!$C4/SUM(preE_Tx_Cadav!$C4,preE_Tx_Live!$C4)&lt;=1,AV60*2*preE_Tx_Live!$C4/SUM(preE_Tx_Cadav!$C4,preE_Tx_Live!$C4),1)</f>
        <v>0.3</v>
      </c>
      <c r="AG60" s="2" t="s">
        <v>66</v>
      </c>
      <c r="AH60" s="2">
        <v>4</v>
      </c>
      <c r="AI60" s="2">
        <f>AVERAGE(preE_Tx_Cadav!C4,preE_Tx_Live!C4)</f>
        <v>0.2</v>
      </c>
      <c r="AJ60" s="2">
        <f>IF('Scenario Inputs'!I$99="",simPy_sheet!$AI$57,'Scenario Inputs'!I$99)</f>
        <v>0.2</v>
      </c>
      <c r="AK60" s="2">
        <f>IF('Scenario Inputs'!J$99="",simPy_sheet!$AI$57,'Scenario Inputs'!J$99)</f>
        <v>0.2</v>
      </c>
      <c r="AL60" s="2">
        <f>IF('Scenario Inputs'!K$99="",simPy_sheet!$AI$57,'Scenario Inputs'!K$99)</f>
        <v>0.2</v>
      </c>
      <c r="AM60" s="2">
        <f>IF('Scenario Inputs'!L$99="",simPy_sheet!$AI$57,'Scenario Inputs'!L$99)</f>
        <v>0.2</v>
      </c>
      <c r="AN60" s="2">
        <f>IF('Scenario Inputs'!M$99="",simPy_sheet!$AI$57,'Scenario Inputs'!M$99)</f>
        <v>0.2</v>
      </c>
      <c r="AO60" s="2">
        <f>IF('Scenario Inputs'!N$99="",simPy_sheet!$AI$57,'Scenario Inputs'!N$99)</f>
        <v>0.2</v>
      </c>
      <c r="AP60" s="2">
        <f>IF('Scenario Inputs'!O$99="",simPy_sheet!$AI$57,'Scenario Inputs'!O$99)</f>
        <v>0.2</v>
      </c>
      <c r="AQ60" s="2">
        <f>IF('Scenario Inputs'!P$99="",simPy_sheet!$AI$57,'Scenario Inputs'!P$99)</f>
        <v>0.2</v>
      </c>
      <c r="AR60" s="2">
        <f>IF('Scenario Inputs'!Q$99="",simPy_sheet!$AI$57,'Scenario Inputs'!Q$99)</f>
        <v>0.2</v>
      </c>
      <c r="AS60" s="2">
        <f>IF('Scenario Inputs'!R$99="",simPy_sheet!$AI$57,'Scenario Inputs'!R$99)</f>
        <v>0.2</v>
      </c>
      <c r="AT60" s="2">
        <f>IF('Scenario Inputs'!S$99="",simPy_sheet!$AI$57,'Scenario Inputs'!S$99)</f>
        <v>0.2</v>
      </c>
      <c r="AU60" s="2">
        <f>IF('Scenario Inputs'!T$99="",simPy_sheet!$AI$57,'Scenario Inputs'!T$99)</f>
        <v>0.2</v>
      </c>
      <c r="AV60" s="2">
        <f>IF('Scenario Inputs'!U$99="",simPy_sheet!$AI$57,'Scenario Inputs'!U$99)</f>
        <v>0.2</v>
      </c>
    </row>
    <row r="61" spans="1:48">
      <c r="A61" s="4" t="s">
        <v>66</v>
      </c>
      <c r="B61" s="4">
        <v>5</v>
      </c>
      <c r="C61" s="55">
        <f>IF(AJ61*2*preE_Tx_Live!$C5/SUM(preE_Tx_Cadav!$C5,preE_Tx_Live!$C5)&lt;=1,AJ61*2*preE_Tx_Cadav!$C5/SUM(preE_Tx_Cadav!$C5,preE_Tx_Live!$C5),2*AJ61-1)</f>
        <v>0.10000000000000002</v>
      </c>
      <c r="D61" s="55">
        <f>IF(AK61*2*preE_Tx_Live!$C5/SUM(preE_Tx_Cadav!$C5,preE_Tx_Live!$C5)&lt;=1,AK61*2*preE_Tx_Cadav!$C5/SUM(preE_Tx_Cadav!$C5,preE_Tx_Live!$C5),2*AK61-1)</f>
        <v>0.10000000000000002</v>
      </c>
      <c r="E61" s="55">
        <f>IF(AL61*2*preE_Tx_Live!$C5/SUM(preE_Tx_Cadav!$C5,preE_Tx_Live!$C5)&lt;=1,AL61*2*preE_Tx_Cadav!$C5/SUM(preE_Tx_Cadav!$C5,preE_Tx_Live!$C5),2*AL61-1)</f>
        <v>0.10000000000000002</v>
      </c>
      <c r="F61" s="55">
        <f>IF(AM61*2*preE_Tx_Live!$C5/SUM(preE_Tx_Cadav!$C5,preE_Tx_Live!$C5)&lt;=1,AM61*2*preE_Tx_Cadav!$C5/SUM(preE_Tx_Cadav!$C5,preE_Tx_Live!$C5),2*AM61-1)</f>
        <v>0.10000000000000002</v>
      </c>
      <c r="G61" s="55">
        <f>IF(AN61*2*preE_Tx_Live!$C5/SUM(preE_Tx_Cadav!$C5,preE_Tx_Live!$C5)&lt;=1,AN61*2*preE_Tx_Cadav!$C5/SUM(preE_Tx_Cadav!$C5,preE_Tx_Live!$C5),2*AN61-1)</f>
        <v>0.10000000000000002</v>
      </c>
      <c r="H61" s="55">
        <f>IF(AO61*2*preE_Tx_Live!$C5/SUM(preE_Tx_Cadav!$C5,preE_Tx_Live!$C5)&lt;=1,AO61*2*preE_Tx_Cadav!$C5/SUM(preE_Tx_Cadav!$C5,preE_Tx_Live!$C5),2*AO61-1)</f>
        <v>0.10000000000000002</v>
      </c>
      <c r="I61" s="55">
        <f>IF(AP61*2*preE_Tx_Live!$C5/SUM(preE_Tx_Cadav!$C5,preE_Tx_Live!$C5)&lt;=1,AP61*2*preE_Tx_Cadav!$C5/SUM(preE_Tx_Cadav!$C5,preE_Tx_Live!$C5),2*AP61-1)</f>
        <v>0.10000000000000002</v>
      </c>
      <c r="J61" s="55">
        <f>IF(AQ61*2*preE_Tx_Live!$C5/SUM(preE_Tx_Cadav!$C5,preE_Tx_Live!$C5)&lt;=1,AQ61*2*preE_Tx_Cadav!$C5/SUM(preE_Tx_Cadav!$C5,preE_Tx_Live!$C5),2*AQ61-1)</f>
        <v>0.10000000000000002</v>
      </c>
      <c r="K61" s="55">
        <f>IF(AR61*2*preE_Tx_Live!$C5/SUM(preE_Tx_Cadav!$C5,preE_Tx_Live!$C5)&lt;=1,AR61*2*preE_Tx_Cadav!$C5/SUM(preE_Tx_Cadav!$C5,preE_Tx_Live!$C5),2*AR61-1)</f>
        <v>0.10000000000000002</v>
      </c>
      <c r="L61" s="55">
        <f>IF(AS61*2*preE_Tx_Live!$C5/SUM(preE_Tx_Cadav!$C5,preE_Tx_Live!$C5)&lt;=1,AS61*2*preE_Tx_Cadav!$C5/SUM(preE_Tx_Cadav!$C5,preE_Tx_Live!$C5),2*AS61-1)</f>
        <v>0.10000000000000002</v>
      </c>
      <c r="M61" s="55">
        <f>IF(AT61*2*preE_Tx_Live!$C5/SUM(preE_Tx_Cadav!$C5,preE_Tx_Live!$C5)&lt;=1,AT61*2*preE_Tx_Cadav!$C5/SUM(preE_Tx_Cadav!$C5,preE_Tx_Live!$C5),2*AT61-1)</f>
        <v>0.10000000000000002</v>
      </c>
      <c r="N61" s="55">
        <f>IF(AU61*2*preE_Tx_Live!$C5/SUM(preE_Tx_Cadav!$C5,preE_Tx_Live!$C5)&lt;=1,AU61*2*preE_Tx_Cadav!$C5/SUM(preE_Tx_Cadav!$C5,preE_Tx_Live!$C5),2*AU61-1)</f>
        <v>0.10000000000000002</v>
      </c>
      <c r="O61" s="55">
        <f>IF(AV61*2*preE_Tx_Live!$C5/SUM(preE_Tx_Cadav!$C5,preE_Tx_Live!$C5)&lt;=1,AV61*2*preE_Tx_Cadav!$C5/SUM(preE_Tx_Cadav!$C5,preE_Tx_Live!$C5),2*AV61-1)</f>
        <v>0.10000000000000002</v>
      </c>
      <c r="Q61" s="4" t="s">
        <v>66</v>
      </c>
      <c r="R61" s="53">
        <v>5</v>
      </c>
      <c r="S61" s="55">
        <f>IF(AJ61*2*preE_Tx_Live!$C5/SUM(preE_Tx_Cadav!$C5,preE_Tx_Live!$C5)&lt;=1,AJ61*2*preE_Tx_Live!$C5/SUM(preE_Tx_Cadav!$C5,preE_Tx_Live!$C5),1)</f>
        <v>0.3</v>
      </c>
      <c r="T61" s="55">
        <f>IF(AK61*2*preE_Tx_Live!$C5/SUM(preE_Tx_Cadav!$C5,preE_Tx_Live!$C5)&lt;=1,AK61*2*preE_Tx_Live!$C5/SUM(preE_Tx_Cadav!$C5,preE_Tx_Live!$C5),1)</f>
        <v>0.3</v>
      </c>
      <c r="U61" s="55">
        <f>IF(AL61*2*preE_Tx_Live!$C5/SUM(preE_Tx_Cadav!$C5,preE_Tx_Live!$C5)&lt;=1,AL61*2*preE_Tx_Live!$C5/SUM(preE_Tx_Cadav!$C5,preE_Tx_Live!$C5),1)</f>
        <v>0.3</v>
      </c>
      <c r="V61" s="55">
        <f>IF(AM61*2*preE_Tx_Live!$C5/SUM(preE_Tx_Cadav!$C5,preE_Tx_Live!$C5)&lt;=1,AM61*2*preE_Tx_Live!$C5/SUM(preE_Tx_Cadav!$C5,preE_Tx_Live!$C5),1)</f>
        <v>0.3</v>
      </c>
      <c r="W61" s="55">
        <f>IF(AN61*2*preE_Tx_Live!$C5/SUM(preE_Tx_Cadav!$C5,preE_Tx_Live!$C5)&lt;=1,AN61*2*preE_Tx_Live!$C5/SUM(preE_Tx_Cadav!$C5,preE_Tx_Live!$C5),1)</f>
        <v>0.3</v>
      </c>
      <c r="X61" s="55">
        <f>IF(AO61*2*preE_Tx_Live!$C5/SUM(preE_Tx_Cadav!$C5,preE_Tx_Live!$C5)&lt;=1,AO61*2*preE_Tx_Live!$C5/SUM(preE_Tx_Cadav!$C5,preE_Tx_Live!$C5),1)</f>
        <v>0.3</v>
      </c>
      <c r="Y61" s="55">
        <f>IF(AP61*2*preE_Tx_Live!$C5/SUM(preE_Tx_Cadav!$C5,preE_Tx_Live!$C5)&lt;=1,AP61*2*preE_Tx_Live!$C5/SUM(preE_Tx_Cadav!$C5,preE_Tx_Live!$C5),1)</f>
        <v>0.3</v>
      </c>
      <c r="Z61" s="55">
        <f>IF(AQ61*2*preE_Tx_Live!$C5/SUM(preE_Tx_Cadav!$C5,preE_Tx_Live!$C5)&lt;=1,AQ61*2*preE_Tx_Live!$C5/SUM(preE_Tx_Cadav!$C5,preE_Tx_Live!$C5),1)</f>
        <v>0.3</v>
      </c>
      <c r="AA61" s="55">
        <f>IF(AR61*2*preE_Tx_Live!$C5/SUM(preE_Tx_Cadav!$C5,preE_Tx_Live!$C5)&lt;=1,AR61*2*preE_Tx_Live!$C5/SUM(preE_Tx_Cadav!$C5,preE_Tx_Live!$C5),1)</f>
        <v>0.3</v>
      </c>
      <c r="AB61" s="55">
        <f>IF(AS61*2*preE_Tx_Live!$C5/SUM(preE_Tx_Cadav!$C5,preE_Tx_Live!$C5)&lt;=1,AS61*2*preE_Tx_Live!$C5/SUM(preE_Tx_Cadav!$C5,preE_Tx_Live!$C5),1)</f>
        <v>0.3</v>
      </c>
      <c r="AC61" s="55">
        <f>IF(AT61*2*preE_Tx_Live!$C5/SUM(preE_Tx_Cadav!$C5,preE_Tx_Live!$C5)&lt;=1,AT61*2*preE_Tx_Live!$C5/SUM(preE_Tx_Cadav!$C5,preE_Tx_Live!$C5),1)</f>
        <v>0.3</v>
      </c>
      <c r="AD61" s="55">
        <f>IF(AU61*2*preE_Tx_Live!$C5/SUM(preE_Tx_Cadav!$C5,preE_Tx_Live!$C5)&lt;=1,AU61*2*preE_Tx_Live!$C5/SUM(preE_Tx_Cadav!$C5,preE_Tx_Live!$C5),1)</f>
        <v>0.3</v>
      </c>
      <c r="AE61" s="55">
        <f>IF(AV61*2*preE_Tx_Live!$C5/SUM(preE_Tx_Cadav!$C5,preE_Tx_Live!$C5)&lt;=1,AV61*2*preE_Tx_Live!$C5/SUM(preE_Tx_Cadav!$C5,preE_Tx_Live!$C5),1)</f>
        <v>0.3</v>
      </c>
      <c r="AG61" s="2" t="s">
        <v>66</v>
      </c>
      <c r="AH61" s="2">
        <v>5</v>
      </c>
      <c r="AI61" s="2">
        <f>AVERAGE(preE_Tx_Cadav!C5,preE_Tx_Live!C5)</f>
        <v>0.2</v>
      </c>
      <c r="AJ61" s="2">
        <f>IF('Scenario Inputs'!I$99="",simPy_sheet!$AI$57,'Scenario Inputs'!I$99)</f>
        <v>0.2</v>
      </c>
      <c r="AK61" s="2">
        <f>IF('Scenario Inputs'!J$99="",simPy_sheet!$AI$57,'Scenario Inputs'!J$99)</f>
        <v>0.2</v>
      </c>
      <c r="AL61" s="2">
        <f>IF('Scenario Inputs'!K$99="",simPy_sheet!$AI$57,'Scenario Inputs'!K$99)</f>
        <v>0.2</v>
      </c>
      <c r="AM61" s="2">
        <f>IF('Scenario Inputs'!L$99="",simPy_sheet!$AI$57,'Scenario Inputs'!L$99)</f>
        <v>0.2</v>
      </c>
      <c r="AN61" s="2">
        <f>IF('Scenario Inputs'!M$99="",simPy_sheet!$AI$57,'Scenario Inputs'!M$99)</f>
        <v>0.2</v>
      </c>
      <c r="AO61" s="2">
        <f>IF('Scenario Inputs'!N$99="",simPy_sheet!$AI$57,'Scenario Inputs'!N$99)</f>
        <v>0.2</v>
      </c>
      <c r="AP61" s="2">
        <f>IF('Scenario Inputs'!O$99="",simPy_sheet!$AI$57,'Scenario Inputs'!O$99)</f>
        <v>0.2</v>
      </c>
      <c r="AQ61" s="2">
        <f>IF('Scenario Inputs'!P$99="",simPy_sheet!$AI$57,'Scenario Inputs'!P$99)</f>
        <v>0.2</v>
      </c>
      <c r="AR61" s="2">
        <f>IF('Scenario Inputs'!Q$99="",simPy_sheet!$AI$57,'Scenario Inputs'!Q$99)</f>
        <v>0.2</v>
      </c>
      <c r="AS61" s="2">
        <f>IF('Scenario Inputs'!R$99="",simPy_sheet!$AI$57,'Scenario Inputs'!R$99)</f>
        <v>0.2</v>
      </c>
      <c r="AT61" s="2">
        <f>IF('Scenario Inputs'!S$99="",simPy_sheet!$AI$57,'Scenario Inputs'!S$99)</f>
        <v>0.2</v>
      </c>
      <c r="AU61" s="2">
        <f>IF('Scenario Inputs'!T$99="",simPy_sheet!$AI$57,'Scenario Inputs'!T$99)</f>
        <v>0.2</v>
      </c>
      <c r="AV61" s="2">
        <f>IF('Scenario Inputs'!U$99="",simPy_sheet!$AI$57,'Scenario Inputs'!U$99)</f>
        <v>0.2</v>
      </c>
    </row>
    <row r="62" spans="1:48">
      <c r="A62" s="4" t="s">
        <v>66</v>
      </c>
      <c r="B62" s="4">
        <v>6</v>
      </c>
      <c r="C62" s="55">
        <f>IF(AJ62*2*preE_Tx_Live!$C6/SUM(preE_Tx_Cadav!$C6,preE_Tx_Live!$C6)&lt;=1,AJ62*2*preE_Tx_Cadav!$C6/SUM(preE_Tx_Cadav!$C6,preE_Tx_Live!$C6),2*AJ62-1)</f>
        <v>0.10000000000000002</v>
      </c>
      <c r="D62" s="55">
        <f>IF(AK62*2*preE_Tx_Live!$C6/SUM(preE_Tx_Cadav!$C6,preE_Tx_Live!$C6)&lt;=1,AK62*2*preE_Tx_Cadav!$C6/SUM(preE_Tx_Cadav!$C6,preE_Tx_Live!$C6),2*AK62-1)</f>
        <v>0.10000000000000002</v>
      </c>
      <c r="E62" s="55">
        <f>IF(AL62*2*preE_Tx_Live!$C6/SUM(preE_Tx_Cadav!$C6,preE_Tx_Live!$C6)&lt;=1,AL62*2*preE_Tx_Cadav!$C6/SUM(preE_Tx_Cadav!$C6,preE_Tx_Live!$C6),2*AL62-1)</f>
        <v>0.10000000000000002</v>
      </c>
      <c r="F62" s="55">
        <f>IF(AM62*2*preE_Tx_Live!$C6/SUM(preE_Tx_Cadav!$C6,preE_Tx_Live!$C6)&lt;=1,AM62*2*preE_Tx_Cadav!$C6/SUM(preE_Tx_Cadav!$C6,preE_Tx_Live!$C6),2*AM62-1)</f>
        <v>0.10000000000000002</v>
      </c>
      <c r="G62" s="55">
        <f>IF(AN62*2*preE_Tx_Live!$C6/SUM(preE_Tx_Cadav!$C6,preE_Tx_Live!$C6)&lt;=1,AN62*2*preE_Tx_Cadav!$C6/SUM(preE_Tx_Cadav!$C6,preE_Tx_Live!$C6),2*AN62-1)</f>
        <v>0.10000000000000002</v>
      </c>
      <c r="H62" s="55">
        <f>IF(AO62*2*preE_Tx_Live!$C6/SUM(preE_Tx_Cadav!$C6,preE_Tx_Live!$C6)&lt;=1,AO62*2*preE_Tx_Cadav!$C6/SUM(preE_Tx_Cadav!$C6,preE_Tx_Live!$C6),2*AO62-1)</f>
        <v>0.10000000000000002</v>
      </c>
      <c r="I62" s="55">
        <f>IF(AP62*2*preE_Tx_Live!$C6/SUM(preE_Tx_Cadav!$C6,preE_Tx_Live!$C6)&lt;=1,AP62*2*preE_Tx_Cadav!$C6/SUM(preE_Tx_Cadav!$C6,preE_Tx_Live!$C6),2*AP62-1)</f>
        <v>0.10000000000000002</v>
      </c>
      <c r="J62" s="55">
        <f>IF(AQ62*2*preE_Tx_Live!$C6/SUM(preE_Tx_Cadav!$C6,preE_Tx_Live!$C6)&lt;=1,AQ62*2*preE_Tx_Cadav!$C6/SUM(preE_Tx_Cadav!$C6,preE_Tx_Live!$C6),2*AQ62-1)</f>
        <v>0.10000000000000002</v>
      </c>
      <c r="K62" s="55">
        <f>IF(AR62*2*preE_Tx_Live!$C6/SUM(preE_Tx_Cadav!$C6,preE_Tx_Live!$C6)&lt;=1,AR62*2*preE_Tx_Cadav!$C6/SUM(preE_Tx_Cadav!$C6,preE_Tx_Live!$C6),2*AR62-1)</f>
        <v>0.10000000000000002</v>
      </c>
      <c r="L62" s="55">
        <f>IF(AS62*2*preE_Tx_Live!$C6/SUM(preE_Tx_Cadav!$C6,preE_Tx_Live!$C6)&lt;=1,AS62*2*preE_Tx_Cadav!$C6/SUM(preE_Tx_Cadav!$C6,preE_Tx_Live!$C6),2*AS62-1)</f>
        <v>0.10000000000000002</v>
      </c>
      <c r="M62" s="55">
        <f>IF(AT62*2*preE_Tx_Live!$C6/SUM(preE_Tx_Cadav!$C6,preE_Tx_Live!$C6)&lt;=1,AT62*2*preE_Tx_Cadav!$C6/SUM(preE_Tx_Cadav!$C6,preE_Tx_Live!$C6),2*AT62-1)</f>
        <v>0.10000000000000002</v>
      </c>
      <c r="N62" s="55">
        <f>IF(AU62*2*preE_Tx_Live!$C6/SUM(preE_Tx_Cadav!$C6,preE_Tx_Live!$C6)&lt;=1,AU62*2*preE_Tx_Cadav!$C6/SUM(preE_Tx_Cadav!$C6,preE_Tx_Live!$C6),2*AU62-1)</f>
        <v>0.10000000000000002</v>
      </c>
      <c r="O62" s="55">
        <f>IF(AV62*2*preE_Tx_Live!$C6/SUM(preE_Tx_Cadav!$C6,preE_Tx_Live!$C6)&lt;=1,AV62*2*preE_Tx_Cadav!$C6/SUM(preE_Tx_Cadav!$C6,preE_Tx_Live!$C6),2*AV62-1)</f>
        <v>0.10000000000000002</v>
      </c>
      <c r="Q62" s="4" t="s">
        <v>66</v>
      </c>
      <c r="R62" s="53">
        <v>6</v>
      </c>
      <c r="S62" s="55">
        <f>IF(AJ62*2*preE_Tx_Live!$C6/SUM(preE_Tx_Cadav!$C6,preE_Tx_Live!$C6)&lt;=1,AJ62*2*preE_Tx_Live!$C6/SUM(preE_Tx_Cadav!$C6,preE_Tx_Live!$C6),1)</f>
        <v>0.3</v>
      </c>
      <c r="T62" s="55">
        <f>IF(AK62*2*preE_Tx_Live!$C6/SUM(preE_Tx_Cadav!$C6,preE_Tx_Live!$C6)&lt;=1,AK62*2*preE_Tx_Live!$C6/SUM(preE_Tx_Cadav!$C6,preE_Tx_Live!$C6),1)</f>
        <v>0.3</v>
      </c>
      <c r="U62" s="55">
        <f>IF(AL62*2*preE_Tx_Live!$C6/SUM(preE_Tx_Cadav!$C6,preE_Tx_Live!$C6)&lt;=1,AL62*2*preE_Tx_Live!$C6/SUM(preE_Tx_Cadav!$C6,preE_Tx_Live!$C6),1)</f>
        <v>0.3</v>
      </c>
      <c r="V62" s="55">
        <f>IF(AM62*2*preE_Tx_Live!$C6/SUM(preE_Tx_Cadav!$C6,preE_Tx_Live!$C6)&lt;=1,AM62*2*preE_Tx_Live!$C6/SUM(preE_Tx_Cadav!$C6,preE_Tx_Live!$C6),1)</f>
        <v>0.3</v>
      </c>
      <c r="W62" s="55">
        <f>IF(AN62*2*preE_Tx_Live!$C6/SUM(preE_Tx_Cadav!$C6,preE_Tx_Live!$C6)&lt;=1,AN62*2*preE_Tx_Live!$C6/SUM(preE_Tx_Cadav!$C6,preE_Tx_Live!$C6),1)</f>
        <v>0.3</v>
      </c>
      <c r="X62" s="55">
        <f>IF(AO62*2*preE_Tx_Live!$C6/SUM(preE_Tx_Cadav!$C6,preE_Tx_Live!$C6)&lt;=1,AO62*2*preE_Tx_Live!$C6/SUM(preE_Tx_Cadav!$C6,preE_Tx_Live!$C6),1)</f>
        <v>0.3</v>
      </c>
      <c r="Y62" s="55">
        <f>IF(AP62*2*preE_Tx_Live!$C6/SUM(preE_Tx_Cadav!$C6,preE_Tx_Live!$C6)&lt;=1,AP62*2*preE_Tx_Live!$C6/SUM(preE_Tx_Cadav!$C6,preE_Tx_Live!$C6),1)</f>
        <v>0.3</v>
      </c>
      <c r="Z62" s="55">
        <f>IF(AQ62*2*preE_Tx_Live!$C6/SUM(preE_Tx_Cadav!$C6,preE_Tx_Live!$C6)&lt;=1,AQ62*2*preE_Tx_Live!$C6/SUM(preE_Tx_Cadav!$C6,preE_Tx_Live!$C6),1)</f>
        <v>0.3</v>
      </c>
      <c r="AA62" s="55">
        <f>IF(AR62*2*preE_Tx_Live!$C6/SUM(preE_Tx_Cadav!$C6,preE_Tx_Live!$C6)&lt;=1,AR62*2*preE_Tx_Live!$C6/SUM(preE_Tx_Cadav!$C6,preE_Tx_Live!$C6),1)</f>
        <v>0.3</v>
      </c>
      <c r="AB62" s="55">
        <f>IF(AS62*2*preE_Tx_Live!$C6/SUM(preE_Tx_Cadav!$C6,preE_Tx_Live!$C6)&lt;=1,AS62*2*preE_Tx_Live!$C6/SUM(preE_Tx_Cadav!$C6,preE_Tx_Live!$C6),1)</f>
        <v>0.3</v>
      </c>
      <c r="AC62" s="55">
        <f>IF(AT62*2*preE_Tx_Live!$C6/SUM(preE_Tx_Cadav!$C6,preE_Tx_Live!$C6)&lt;=1,AT62*2*preE_Tx_Live!$C6/SUM(preE_Tx_Cadav!$C6,preE_Tx_Live!$C6),1)</f>
        <v>0.3</v>
      </c>
      <c r="AD62" s="55">
        <f>IF(AU62*2*preE_Tx_Live!$C6/SUM(preE_Tx_Cadav!$C6,preE_Tx_Live!$C6)&lt;=1,AU62*2*preE_Tx_Live!$C6/SUM(preE_Tx_Cadav!$C6,preE_Tx_Live!$C6),1)</f>
        <v>0.3</v>
      </c>
      <c r="AE62" s="55">
        <f>IF(AV62*2*preE_Tx_Live!$C6/SUM(preE_Tx_Cadav!$C6,preE_Tx_Live!$C6)&lt;=1,AV62*2*preE_Tx_Live!$C6/SUM(preE_Tx_Cadav!$C6,preE_Tx_Live!$C6),1)</f>
        <v>0.3</v>
      </c>
      <c r="AG62" s="2" t="s">
        <v>66</v>
      </c>
      <c r="AH62" s="2">
        <v>6</v>
      </c>
      <c r="AI62" s="2">
        <f>AVERAGE(preE_Tx_Cadav!C6,preE_Tx_Live!C6)</f>
        <v>0.2</v>
      </c>
      <c r="AJ62" s="2">
        <f>IF('Scenario Inputs'!I$99="",simPy_sheet!$AI$57,'Scenario Inputs'!I$99)</f>
        <v>0.2</v>
      </c>
      <c r="AK62" s="2">
        <f>IF('Scenario Inputs'!J$99="",simPy_sheet!$AI$57,'Scenario Inputs'!J$99)</f>
        <v>0.2</v>
      </c>
      <c r="AL62" s="2">
        <f>IF('Scenario Inputs'!K$99="",simPy_sheet!$AI$57,'Scenario Inputs'!K$99)</f>
        <v>0.2</v>
      </c>
      <c r="AM62" s="2">
        <f>IF('Scenario Inputs'!L$99="",simPy_sheet!$AI$57,'Scenario Inputs'!L$99)</f>
        <v>0.2</v>
      </c>
      <c r="AN62" s="2">
        <f>IF('Scenario Inputs'!M$99="",simPy_sheet!$AI$57,'Scenario Inputs'!M$99)</f>
        <v>0.2</v>
      </c>
      <c r="AO62" s="2">
        <f>IF('Scenario Inputs'!N$99="",simPy_sheet!$AI$57,'Scenario Inputs'!N$99)</f>
        <v>0.2</v>
      </c>
      <c r="AP62" s="2">
        <f>IF('Scenario Inputs'!O$99="",simPy_sheet!$AI$57,'Scenario Inputs'!O$99)</f>
        <v>0.2</v>
      </c>
      <c r="AQ62" s="2">
        <f>IF('Scenario Inputs'!P$99="",simPy_sheet!$AI$57,'Scenario Inputs'!P$99)</f>
        <v>0.2</v>
      </c>
      <c r="AR62" s="2">
        <f>IF('Scenario Inputs'!Q$99="",simPy_sheet!$AI$57,'Scenario Inputs'!Q$99)</f>
        <v>0.2</v>
      </c>
      <c r="AS62" s="2">
        <f>IF('Scenario Inputs'!R$99="",simPy_sheet!$AI$57,'Scenario Inputs'!R$99)</f>
        <v>0.2</v>
      </c>
      <c r="AT62" s="2">
        <f>IF('Scenario Inputs'!S$99="",simPy_sheet!$AI$57,'Scenario Inputs'!S$99)</f>
        <v>0.2</v>
      </c>
      <c r="AU62" s="2">
        <f>IF('Scenario Inputs'!T$99="",simPy_sheet!$AI$57,'Scenario Inputs'!T$99)</f>
        <v>0.2</v>
      </c>
      <c r="AV62" s="2">
        <f>IF('Scenario Inputs'!U$99="",simPy_sheet!$AI$57,'Scenario Inputs'!U$99)</f>
        <v>0.2</v>
      </c>
    </row>
    <row r="63" spans="1:48">
      <c r="A63" s="4" t="s">
        <v>67</v>
      </c>
      <c r="B63" s="4">
        <v>1</v>
      </c>
      <c r="C63" s="53">
        <f>preE_Tx_Cadav!C7</f>
        <v>0</v>
      </c>
      <c r="D63" s="53"/>
      <c r="E63" s="53"/>
      <c r="F63" s="53"/>
      <c r="G63" s="53"/>
      <c r="H63" s="53"/>
      <c r="I63" s="53"/>
      <c r="J63" s="53"/>
      <c r="K63" s="53"/>
      <c r="L63" s="53"/>
      <c r="M63" s="53"/>
      <c r="N63" s="53"/>
      <c r="O63" s="53"/>
      <c r="Q63" s="4" t="s">
        <v>67</v>
      </c>
      <c r="R63" s="53">
        <v>1</v>
      </c>
      <c r="S63" s="53">
        <f>preE_Tx_Live!C7</f>
        <v>0</v>
      </c>
      <c r="T63" s="2"/>
      <c r="U63" s="2"/>
      <c r="V63" s="2"/>
      <c r="W63" s="2"/>
      <c r="X63" s="2"/>
      <c r="Y63" s="2"/>
      <c r="Z63" s="2"/>
      <c r="AA63" s="2"/>
      <c r="AB63" s="2"/>
      <c r="AC63" s="2"/>
      <c r="AD63" s="2"/>
      <c r="AE63" s="2"/>
    </row>
    <row r="64" spans="1:48">
      <c r="A64" s="4" t="s">
        <v>67</v>
      </c>
      <c r="B64" s="4">
        <v>2</v>
      </c>
      <c r="C64" s="53">
        <f>preE_Tx_Cadav!C8</f>
        <v>0</v>
      </c>
      <c r="D64" s="53"/>
      <c r="E64" s="53"/>
      <c r="F64" s="53"/>
      <c r="G64" s="53"/>
      <c r="H64" s="53"/>
      <c r="I64" s="53"/>
      <c r="J64" s="53"/>
      <c r="K64" s="53"/>
      <c r="L64" s="53"/>
      <c r="M64" s="53"/>
      <c r="N64" s="53"/>
      <c r="O64" s="53"/>
      <c r="Q64" s="4" t="s">
        <v>67</v>
      </c>
      <c r="R64" s="53">
        <v>2</v>
      </c>
      <c r="S64" s="53">
        <f>preE_Tx_Live!C8</f>
        <v>0</v>
      </c>
      <c r="T64" s="2"/>
      <c r="U64" s="2"/>
      <c r="V64" s="2"/>
      <c r="W64" s="2"/>
      <c r="X64" s="2"/>
      <c r="Y64" s="2"/>
      <c r="Z64" s="2"/>
      <c r="AA64" s="2"/>
      <c r="AB64" s="2"/>
      <c r="AC64" s="2"/>
      <c r="AD64" s="2"/>
      <c r="AE64" s="2"/>
    </row>
    <row r="65" spans="1:44">
      <c r="A65" s="4" t="s">
        <v>67</v>
      </c>
      <c r="B65" s="4">
        <v>3</v>
      </c>
      <c r="C65" s="53">
        <f>preE_Tx_Cadav!C9</f>
        <v>0</v>
      </c>
      <c r="D65" s="53"/>
      <c r="E65" s="53"/>
      <c r="F65" s="53"/>
      <c r="G65" s="53"/>
      <c r="H65" s="53"/>
      <c r="I65" s="53"/>
      <c r="J65" s="53"/>
      <c r="K65" s="53"/>
      <c r="L65" s="53"/>
      <c r="M65" s="53"/>
      <c r="N65" s="53"/>
      <c r="O65" s="53"/>
      <c r="Q65" s="4" t="s">
        <v>67</v>
      </c>
      <c r="R65" s="53">
        <v>3</v>
      </c>
      <c r="S65" s="53">
        <f>preE_Tx_Live!C9</f>
        <v>0</v>
      </c>
      <c r="T65" s="2"/>
      <c r="U65" s="2"/>
      <c r="V65" s="2"/>
      <c r="W65" s="2"/>
      <c r="X65" s="2"/>
      <c r="Y65" s="2"/>
      <c r="Z65" s="2"/>
      <c r="AA65" s="2"/>
      <c r="AB65" s="2"/>
      <c r="AC65" s="2"/>
      <c r="AD65" s="2"/>
      <c r="AE65" s="2"/>
    </row>
    <row r="66" spans="1:44">
      <c r="A66" s="4" t="s">
        <v>67</v>
      </c>
      <c r="B66" s="4">
        <v>4</v>
      </c>
      <c r="C66" s="53">
        <f>preE_Tx_Cadav!C10</f>
        <v>0</v>
      </c>
      <c r="D66" s="53"/>
      <c r="E66" s="53"/>
      <c r="F66" s="53"/>
      <c r="G66" s="53"/>
      <c r="H66" s="53"/>
      <c r="I66" s="53"/>
      <c r="J66" s="53"/>
      <c r="K66" s="53"/>
      <c r="L66" s="53"/>
      <c r="M66" s="53"/>
      <c r="N66" s="53"/>
      <c r="O66" s="53"/>
      <c r="Q66" s="4" t="s">
        <v>67</v>
      </c>
      <c r="R66" s="53">
        <v>4</v>
      </c>
      <c r="S66" s="53">
        <f>preE_Tx_Live!C10</f>
        <v>0</v>
      </c>
      <c r="T66" s="2"/>
      <c r="U66" s="2"/>
      <c r="V66" s="2"/>
      <c r="W66" s="2"/>
      <c r="X66" s="2"/>
      <c r="Y66" s="2"/>
      <c r="Z66" s="2"/>
      <c r="AA66" s="2"/>
      <c r="AB66" s="2"/>
      <c r="AC66" s="2"/>
      <c r="AD66" s="2"/>
      <c r="AE66" s="2"/>
    </row>
    <row r="67" spans="1:44">
      <c r="A67" s="4" t="s">
        <v>67</v>
      </c>
      <c r="B67" s="4">
        <v>5</v>
      </c>
      <c r="C67" s="53">
        <f>preE_Tx_Cadav!C11</f>
        <v>0</v>
      </c>
      <c r="D67" s="53"/>
      <c r="E67" s="53"/>
      <c r="F67" s="53"/>
      <c r="G67" s="53"/>
      <c r="H67" s="53"/>
      <c r="I67" s="53"/>
      <c r="J67" s="53"/>
      <c r="K67" s="53"/>
      <c r="L67" s="53"/>
      <c r="M67" s="53"/>
      <c r="N67" s="53"/>
      <c r="O67" s="53"/>
      <c r="Q67" s="4" t="s">
        <v>67</v>
      </c>
      <c r="R67" s="53">
        <v>5</v>
      </c>
      <c r="S67" s="53">
        <f>preE_Tx_Live!C11</f>
        <v>0</v>
      </c>
      <c r="T67" s="2"/>
      <c r="U67" s="2"/>
      <c r="V67" s="2"/>
      <c r="W67" s="2"/>
      <c r="X67" s="2"/>
      <c r="Y67" s="2"/>
      <c r="Z67" s="2"/>
      <c r="AA67" s="2"/>
      <c r="AB67" s="2"/>
      <c r="AC67" s="2"/>
      <c r="AD67" s="2"/>
      <c r="AE67" s="2"/>
    </row>
    <row r="68" spans="1:44">
      <c r="A68" s="4" t="s">
        <v>67</v>
      </c>
      <c r="B68" s="4">
        <v>6</v>
      </c>
      <c r="C68" s="53">
        <f>preE_Tx_Cadav!C12</f>
        <v>0</v>
      </c>
      <c r="D68" s="53"/>
      <c r="E68" s="53"/>
      <c r="F68" s="53"/>
      <c r="G68" s="53"/>
      <c r="H68" s="53"/>
      <c r="I68" s="53"/>
      <c r="J68" s="53"/>
      <c r="K68" s="53"/>
      <c r="L68" s="53"/>
      <c r="M68" s="53"/>
      <c r="N68" s="53"/>
      <c r="O68" s="53"/>
      <c r="Q68" s="4" t="s">
        <v>67</v>
      </c>
      <c r="R68" s="53">
        <v>6</v>
      </c>
      <c r="S68" s="53">
        <f>preE_Tx_Live!C12</f>
        <v>0</v>
      </c>
      <c r="T68" s="2"/>
      <c r="U68" s="2"/>
      <c r="V68" s="2"/>
      <c r="W68" s="2"/>
      <c r="X68" s="2"/>
      <c r="Y68" s="2"/>
      <c r="Z68" s="2"/>
      <c r="AA68" s="2"/>
      <c r="AB68" s="2"/>
      <c r="AC68" s="2"/>
      <c r="AD68" s="2"/>
      <c r="AE68" s="2"/>
    </row>
    <row r="69" spans="1:44">
      <c r="A69" s="4" t="s">
        <v>101</v>
      </c>
      <c r="B69" s="61" t="s">
        <v>102</v>
      </c>
      <c r="C69" s="61"/>
      <c r="D69" s="61"/>
      <c r="E69" s="61"/>
      <c r="F69" s="62">
        <v>1</v>
      </c>
      <c r="G69" s="62"/>
      <c r="H69" s="62"/>
      <c r="I69" s="62">
        <v>2</v>
      </c>
      <c r="J69" s="62"/>
      <c r="K69" s="62"/>
      <c r="L69" s="62">
        <v>3</v>
      </c>
      <c r="M69" s="62"/>
      <c r="N69" s="62"/>
      <c r="O69" s="62">
        <v>4</v>
      </c>
      <c r="P69" s="62"/>
      <c r="Q69" s="62"/>
      <c r="R69" s="62">
        <v>5</v>
      </c>
      <c r="S69" s="62"/>
      <c r="T69" s="62"/>
      <c r="U69" s="62">
        <v>6</v>
      </c>
      <c r="V69" s="62"/>
      <c r="W69" s="62"/>
      <c r="X69" s="62">
        <v>7</v>
      </c>
      <c r="Y69" s="62"/>
      <c r="Z69" s="62"/>
      <c r="AA69" s="62">
        <v>8</v>
      </c>
      <c r="AB69" s="62"/>
      <c r="AC69" s="62"/>
      <c r="AD69" s="62">
        <v>9</v>
      </c>
      <c r="AE69" s="62"/>
      <c r="AF69" s="62"/>
      <c r="AG69" s="62">
        <v>10</v>
      </c>
      <c r="AH69" s="62"/>
      <c r="AI69" s="62"/>
      <c r="AJ69" s="62">
        <v>11</v>
      </c>
      <c r="AK69" s="62"/>
      <c r="AL69" s="62"/>
      <c r="AM69" s="62">
        <v>12</v>
      </c>
      <c r="AN69" s="62"/>
      <c r="AO69" s="62"/>
      <c r="AP69" s="62">
        <v>13</v>
      </c>
      <c r="AQ69" s="62"/>
      <c r="AR69" s="62"/>
    </row>
    <row r="70" spans="1:44">
      <c r="C70" t="s">
        <v>129</v>
      </c>
      <c r="D70" t="s">
        <v>130</v>
      </c>
      <c r="E70" t="s">
        <v>131</v>
      </c>
      <c r="F70" t="s">
        <v>129</v>
      </c>
      <c r="G70" t="s">
        <v>130</v>
      </c>
      <c r="H70" t="s">
        <v>131</v>
      </c>
      <c r="I70" t="s">
        <v>129</v>
      </c>
      <c r="J70" t="s">
        <v>130</v>
      </c>
      <c r="K70" t="s">
        <v>131</v>
      </c>
      <c r="L70" t="s">
        <v>129</v>
      </c>
      <c r="M70" t="s">
        <v>130</v>
      </c>
      <c r="N70" t="s">
        <v>131</v>
      </c>
      <c r="O70" t="s">
        <v>129</v>
      </c>
      <c r="P70" t="s">
        <v>130</v>
      </c>
      <c r="Q70" t="s">
        <v>131</v>
      </c>
      <c r="R70" t="s">
        <v>129</v>
      </c>
      <c r="S70" t="s">
        <v>130</v>
      </c>
      <c r="T70" t="s">
        <v>131</v>
      </c>
      <c r="U70" t="s">
        <v>129</v>
      </c>
      <c r="V70" t="s">
        <v>130</v>
      </c>
      <c r="W70" t="s">
        <v>131</v>
      </c>
      <c r="X70" t="s">
        <v>129</v>
      </c>
      <c r="Y70" t="s">
        <v>130</v>
      </c>
      <c r="Z70" t="s">
        <v>131</v>
      </c>
      <c r="AA70" t="s">
        <v>129</v>
      </c>
      <c r="AB70" t="s">
        <v>130</v>
      </c>
      <c r="AC70" t="s">
        <v>131</v>
      </c>
      <c r="AD70" t="s">
        <v>129</v>
      </c>
      <c r="AE70" t="s">
        <v>130</v>
      </c>
      <c r="AF70" t="s">
        <v>131</v>
      </c>
      <c r="AG70" t="s">
        <v>129</v>
      </c>
      <c r="AH70" t="s">
        <v>130</v>
      </c>
      <c r="AI70" t="s">
        <v>131</v>
      </c>
      <c r="AJ70" t="s">
        <v>129</v>
      </c>
      <c r="AK70" t="s">
        <v>130</v>
      </c>
      <c r="AL70" t="s">
        <v>131</v>
      </c>
      <c r="AM70" t="s">
        <v>129</v>
      </c>
      <c r="AN70" t="s">
        <v>130</v>
      </c>
      <c r="AO70" t="s">
        <v>131</v>
      </c>
      <c r="AP70" t="s">
        <v>129</v>
      </c>
      <c r="AQ70" t="s">
        <v>130</v>
      </c>
      <c r="AR70" t="s">
        <v>131</v>
      </c>
    </row>
    <row r="71" spans="1:44">
      <c r="A71" s="4" t="s">
        <v>97</v>
      </c>
      <c r="B71" s="4">
        <v>1</v>
      </c>
      <c r="C71" s="55">
        <f>modAllocation!C1</f>
        <v>0.69</v>
      </c>
      <c r="D71" s="55">
        <f>modAllocation!D1</f>
        <v>0.02</v>
      </c>
      <c r="E71" s="55">
        <f>modAllocation!E1</f>
        <v>0.28999999999999998</v>
      </c>
      <c r="F71" s="54">
        <f t="shared" ref="F71:F76" si="2">1-SUM(G71:H71)</f>
        <v>0.69</v>
      </c>
      <c r="G71" s="54">
        <f t="shared" ref="G71:G76" si="3">D71</f>
        <v>0.02</v>
      </c>
      <c r="H71" s="54">
        <f t="shared" ref="H71:H76" si="4">$B$17</f>
        <v>0.28999999999999998</v>
      </c>
      <c r="I71" s="54">
        <f t="shared" ref="I71:I76" si="5">1-SUM(J71:K71)</f>
        <v>0.69</v>
      </c>
      <c r="J71" s="54">
        <f t="shared" ref="J71:J76" si="6">D71</f>
        <v>0.02</v>
      </c>
      <c r="K71" s="54">
        <f t="shared" ref="K71:K76" si="7">$C$17</f>
        <v>0.28999999999999998</v>
      </c>
      <c r="L71" s="54">
        <f t="shared" ref="L71:L76" si="8">1-SUM(M71:N71)</f>
        <v>0.69</v>
      </c>
      <c r="M71" s="54">
        <f t="shared" ref="M71:M76" si="9">D71</f>
        <v>0.02</v>
      </c>
      <c r="N71" s="54">
        <f t="shared" ref="N71:N76" si="10">$D$17</f>
        <v>0.28999999999999998</v>
      </c>
      <c r="O71" s="54">
        <f t="shared" ref="O71:O76" si="11">1-SUM(P71:Q71)</f>
        <v>0.69</v>
      </c>
      <c r="P71" s="54">
        <f t="shared" ref="P71:P76" si="12">D71</f>
        <v>0.02</v>
      </c>
      <c r="Q71" s="54">
        <f t="shared" ref="Q71:Q76" si="13">$E$17</f>
        <v>0.28999999999999998</v>
      </c>
      <c r="R71" s="54">
        <f t="shared" ref="R71:R76" si="14">1-SUM(S71:T71)</f>
        <v>0.69</v>
      </c>
      <c r="S71" s="55">
        <f t="shared" ref="S71:S76" si="15">D71</f>
        <v>0.02</v>
      </c>
      <c r="T71" s="54">
        <f t="shared" ref="T71:T76" si="16">$F$17</f>
        <v>0.28999999999999998</v>
      </c>
      <c r="U71" s="54">
        <f t="shared" ref="U71:U76" si="17">1-SUM(V71:W71)</f>
        <v>0.69</v>
      </c>
      <c r="V71" s="54">
        <f t="shared" ref="V71:V76" si="18">D71</f>
        <v>0.02</v>
      </c>
      <c r="W71" s="54">
        <f t="shared" ref="W71:W76" si="19">$G$17</f>
        <v>0.28999999999999998</v>
      </c>
      <c r="X71" s="54">
        <f t="shared" ref="X71:X76" si="20">1-SUM(Y71:Z71)</f>
        <v>0.69</v>
      </c>
      <c r="Y71" s="54">
        <f t="shared" ref="Y71:Y76" si="21">D71</f>
        <v>0.02</v>
      </c>
      <c r="Z71" s="54">
        <f t="shared" ref="Z71:Z76" si="22">$H$17</f>
        <v>0.28999999999999998</v>
      </c>
      <c r="AA71" s="54">
        <f t="shared" ref="AA71:AA76" si="23">1-SUM(AB71:AC71)</f>
        <v>0.69</v>
      </c>
      <c r="AB71" s="54">
        <f t="shared" ref="AB71:AB76" si="24">D71</f>
        <v>0.02</v>
      </c>
      <c r="AC71" s="54">
        <f t="shared" ref="AC71:AC76" si="25">$I$17</f>
        <v>0.28999999999999998</v>
      </c>
      <c r="AD71" s="54">
        <f t="shared" ref="AD71:AD76" si="26">1-SUM(AE71:AF71)</f>
        <v>0.69</v>
      </c>
      <c r="AE71" s="54">
        <f t="shared" ref="AE71:AE76" si="27">D71</f>
        <v>0.02</v>
      </c>
      <c r="AF71" s="54">
        <f t="shared" ref="AF71:AF76" si="28">$J$17</f>
        <v>0.28999999999999998</v>
      </c>
      <c r="AG71" s="54">
        <f t="shared" ref="AG71:AG76" si="29">1-SUM(AH71:AI71)</f>
        <v>0.69</v>
      </c>
      <c r="AH71" s="54">
        <f t="shared" ref="AH71:AH76" si="30">D71</f>
        <v>0.02</v>
      </c>
      <c r="AI71" s="54">
        <f t="shared" ref="AI71:AI76" si="31">$K$17</f>
        <v>0.28999999999999998</v>
      </c>
      <c r="AJ71" s="54">
        <f t="shared" ref="AJ71:AJ76" si="32">1-SUM(AK71:AL71)</f>
        <v>0.69</v>
      </c>
      <c r="AK71" s="54">
        <f t="shared" ref="AK71:AK76" si="33">D71</f>
        <v>0.02</v>
      </c>
      <c r="AL71" s="54">
        <f t="shared" ref="AL71:AL76" si="34">$L$17</f>
        <v>0.28999999999999998</v>
      </c>
      <c r="AM71" s="54">
        <f t="shared" ref="AM71:AM76" si="35">1-SUM(AN71:AO71)</f>
        <v>0.69</v>
      </c>
      <c r="AN71" s="54">
        <f t="shared" ref="AN71:AN76" si="36">D71</f>
        <v>0.02</v>
      </c>
      <c r="AO71" s="54">
        <f t="shared" ref="AO71:AO76" si="37">$M$17</f>
        <v>0.28999999999999998</v>
      </c>
      <c r="AP71" s="54">
        <f t="shared" ref="AP71:AP76" si="38">1-SUM(AQ71:AR71)</f>
        <v>0.69</v>
      </c>
      <c r="AQ71" s="54">
        <f t="shared" ref="AQ71:AQ76" si="39">D71</f>
        <v>0.02</v>
      </c>
      <c r="AR71" s="54">
        <f t="shared" ref="AR71:AR76" si="40">$N$17</f>
        <v>0.28999999999999998</v>
      </c>
    </row>
    <row r="72" spans="1:44">
      <c r="A72" s="4" t="s">
        <v>97</v>
      </c>
      <c r="B72" s="4">
        <v>2</v>
      </c>
      <c r="C72" s="55">
        <f>modAllocation!C2</f>
        <v>0.69</v>
      </c>
      <c r="D72" s="55">
        <f>modAllocation!D2</f>
        <v>0.02</v>
      </c>
      <c r="E72" s="55">
        <f>modAllocation!E2</f>
        <v>0.28999999999999998</v>
      </c>
      <c r="F72" s="54">
        <f t="shared" si="2"/>
        <v>0.69</v>
      </c>
      <c r="G72" s="54">
        <f t="shared" si="3"/>
        <v>0.02</v>
      </c>
      <c r="H72" s="54">
        <f t="shared" si="4"/>
        <v>0.28999999999999998</v>
      </c>
      <c r="I72" s="54">
        <f t="shared" si="5"/>
        <v>0.69</v>
      </c>
      <c r="J72" s="54">
        <f t="shared" si="6"/>
        <v>0.02</v>
      </c>
      <c r="K72" s="54">
        <f t="shared" si="7"/>
        <v>0.28999999999999998</v>
      </c>
      <c r="L72" s="54">
        <f t="shared" si="8"/>
        <v>0.69</v>
      </c>
      <c r="M72" s="54">
        <f t="shared" si="9"/>
        <v>0.02</v>
      </c>
      <c r="N72" s="54">
        <f t="shared" si="10"/>
        <v>0.28999999999999998</v>
      </c>
      <c r="O72" s="54">
        <f t="shared" si="11"/>
        <v>0.69</v>
      </c>
      <c r="P72" s="54">
        <f t="shared" si="12"/>
        <v>0.02</v>
      </c>
      <c r="Q72" s="54">
        <f t="shared" si="13"/>
        <v>0.28999999999999998</v>
      </c>
      <c r="R72" s="54">
        <f t="shared" si="14"/>
        <v>0.69</v>
      </c>
      <c r="S72" s="55">
        <f t="shared" si="15"/>
        <v>0.02</v>
      </c>
      <c r="T72" s="54">
        <f t="shared" si="16"/>
        <v>0.28999999999999998</v>
      </c>
      <c r="U72" s="54">
        <f t="shared" si="17"/>
        <v>0.69</v>
      </c>
      <c r="V72" s="54">
        <f t="shared" si="18"/>
        <v>0.02</v>
      </c>
      <c r="W72" s="54">
        <f t="shared" si="19"/>
        <v>0.28999999999999998</v>
      </c>
      <c r="X72" s="54">
        <f t="shared" si="20"/>
        <v>0.69</v>
      </c>
      <c r="Y72" s="54">
        <f t="shared" si="21"/>
        <v>0.02</v>
      </c>
      <c r="Z72" s="54">
        <f t="shared" si="22"/>
        <v>0.28999999999999998</v>
      </c>
      <c r="AA72" s="54">
        <f t="shared" si="23"/>
        <v>0.69</v>
      </c>
      <c r="AB72" s="54">
        <f t="shared" si="24"/>
        <v>0.02</v>
      </c>
      <c r="AC72" s="54">
        <f t="shared" si="25"/>
        <v>0.28999999999999998</v>
      </c>
      <c r="AD72" s="54">
        <f t="shared" si="26"/>
        <v>0.69</v>
      </c>
      <c r="AE72" s="54">
        <f t="shared" si="27"/>
        <v>0.02</v>
      </c>
      <c r="AF72" s="54">
        <f t="shared" si="28"/>
        <v>0.28999999999999998</v>
      </c>
      <c r="AG72" s="54">
        <f t="shared" si="29"/>
        <v>0.69</v>
      </c>
      <c r="AH72" s="54">
        <f t="shared" si="30"/>
        <v>0.02</v>
      </c>
      <c r="AI72" s="54">
        <f t="shared" si="31"/>
        <v>0.28999999999999998</v>
      </c>
      <c r="AJ72" s="54">
        <f t="shared" si="32"/>
        <v>0.69</v>
      </c>
      <c r="AK72" s="54">
        <f t="shared" si="33"/>
        <v>0.02</v>
      </c>
      <c r="AL72" s="54">
        <f t="shared" si="34"/>
        <v>0.28999999999999998</v>
      </c>
      <c r="AM72" s="54">
        <f t="shared" si="35"/>
        <v>0.69</v>
      </c>
      <c r="AN72" s="54">
        <f t="shared" si="36"/>
        <v>0.02</v>
      </c>
      <c r="AO72" s="54">
        <f t="shared" si="37"/>
        <v>0.28999999999999998</v>
      </c>
      <c r="AP72" s="54">
        <f t="shared" si="38"/>
        <v>0.69</v>
      </c>
      <c r="AQ72" s="54">
        <f t="shared" si="39"/>
        <v>0.02</v>
      </c>
      <c r="AR72" s="54">
        <f t="shared" si="40"/>
        <v>0.28999999999999998</v>
      </c>
    </row>
    <row r="73" spans="1:44">
      <c r="A73" s="4" t="s">
        <v>97</v>
      </c>
      <c r="B73" s="4">
        <v>3</v>
      </c>
      <c r="C73" s="55">
        <f>modAllocation!C3</f>
        <v>0.69</v>
      </c>
      <c r="D73" s="55">
        <f>modAllocation!D3</f>
        <v>0.02</v>
      </c>
      <c r="E73" s="55">
        <f>modAllocation!E3</f>
        <v>0.28999999999999998</v>
      </c>
      <c r="F73" s="54">
        <f t="shared" si="2"/>
        <v>0.69</v>
      </c>
      <c r="G73" s="54">
        <f t="shared" si="3"/>
        <v>0.02</v>
      </c>
      <c r="H73" s="54">
        <f t="shared" si="4"/>
        <v>0.28999999999999998</v>
      </c>
      <c r="I73" s="54">
        <f t="shared" si="5"/>
        <v>0.69</v>
      </c>
      <c r="J73" s="54">
        <f t="shared" si="6"/>
        <v>0.02</v>
      </c>
      <c r="K73" s="54">
        <f t="shared" si="7"/>
        <v>0.28999999999999998</v>
      </c>
      <c r="L73" s="54">
        <f t="shared" si="8"/>
        <v>0.69</v>
      </c>
      <c r="M73" s="54">
        <f t="shared" si="9"/>
        <v>0.02</v>
      </c>
      <c r="N73" s="54">
        <f t="shared" si="10"/>
        <v>0.28999999999999998</v>
      </c>
      <c r="O73" s="54">
        <f t="shared" si="11"/>
        <v>0.69</v>
      </c>
      <c r="P73" s="54">
        <f t="shared" si="12"/>
        <v>0.02</v>
      </c>
      <c r="Q73" s="54">
        <f t="shared" si="13"/>
        <v>0.28999999999999998</v>
      </c>
      <c r="R73" s="54">
        <f t="shared" si="14"/>
        <v>0.69</v>
      </c>
      <c r="S73" s="55">
        <f t="shared" si="15"/>
        <v>0.02</v>
      </c>
      <c r="T73" s="54">
        <f t="shared" si="16"/>
        <v>0.28999999999999998</v>
      </c>
      <c r="U73" s="54">
        <f t="shared" si="17"/>
        <v>0.69</v>
      </c>
      <c r="V73" s="54">
        <f t="shared" si="18"/>
        <v>0.02</v>
      </c>
      <c r="W73" s="54">
        <f t="shared" si="19"/>
        <v>0.28999999999999998</v>
      </c>
      <c r="X73" s="54">
        <f t="shared" si="20"/>
        <v>0.69</v>
      </c>
      <c r="Y73" s="54">
        <f t="shared" si="21"/>
        <v>0.02</v>
      </c>
      <c r="Z73" s="54">
        <f t="shared" si="22"/>
        <v>0.28999999999999998</v>
      </c>
      <c r="AA73" s="54">
        <f t="shared" si="23"/>
        <v>0.69</v>
      </c>
      <c r="AB73" s="54">
        <f t="shared" si="24"/>
        <v>0.02</v>
      </c>
      <c r="AC73" s="54">
        <f t="shared" si="25"/>
        <v>0.28999999999999998</v>
      </c>
      <c r="AD73" s="54">
        <f t="shared" si="26"/>
        <v>0.69</v>
      </c>
      <c r="AE73" s="54">
        <f t="shared" si="27"/>
        <v>0.02</v>
      </c>
      <c r="AF73" s="54">
        <f t="shared" si="28"/>
        <v>0.28999999999999998</v>
      </c>
      <c r="AG73" s="54">
        <f t="shared" si="29"/>
        <v>0.69</v>
      </c>
      <c r="AH73" s="54">
        <f t="shared" si="30"/>
        <v>0.02</v>
      </c>
      <c r="AI73" s="54">
        <f t="shared" si="31"/>
        <v>0.28999999999999998</v>
      </c>
      <c r="AJ73" s="54">
        <f t="shared" si="32"/>
        <v>0.69</v>
      </c>
      <c r="AK73" s="54">
        <f t="shared" si="33"/>
        <v>0.02</v>
      </c>
      <c r="AL73" s="54">
        <f t="shared" si="34"/>
        <v>0.28999999999999998</v>
      </c>
      <c r="AM73" s="54">
        <f t="shared" si="35"/>
        <v>0.69</v>
      </c>
      <c r="AN73" s="54">
        <f t="shared" si="36"/>
        <v>0.02</v>
      </c>
      <c r="AO73" s="54">
        <f t="shared" si="37"/>
        <v>0.28999999999999998</v>
      </c>
      <c r="AP73" s="54">
        <f t="shared" si="38"/>
        <v>0.69</v>
      </c>
      <c r="AQ73" s="54">
        <f t="shared" si="39"/>
        <v>0.02</v>
      </c>
      <c r="AR73" s="54">
        <f t="shared" si="40"/>
        <v>0.28999999999999998</v>
      </c>
    </row>
    <row r="74" spans="1:44">
      <c r="A74" s="4" t="s">
        <v>97</v>
      </c>
      <c r="B74" s="4">
        <v>4</v>
      </c>
      <c r="C74" s="55">
        <f>modAllocation!C4</f>
        <v>0.69</v>
      </c>
      <c r="D74" s="55">
        <f>modAllocation!D4</f>
        <v>0.02</v>
      </c>
      <c r="E74" s="55">
        <f>modAllocation!E4</f>
        <v>0.28999999999999998</v>
      </c>
      <c r="F74" s="54">
        <f t="shared" si="2"/>
        <v>0.69</v>
      </c>
      <c r="G74" s="54">
        <f t="shared" si="3"/>
        <v>0.02</v>
      </c>
      <c r="H74" s="54">
        <f t="shared" si="4"/>
        <v>0.28999999999999998</v>
      </c>
      <c r="I74" s="54">
        <f t="shared" si="5"/>
        <v>0.69</v>
      </c>
      <c r="J74" s="54">
        <f t="shared" si="6"/>
        <v>0.02</v>
      </c>
      <c r="K74" s="54">
        <f t="shared" si="7"/>
        <v>0.28999999999999998</v>
      </c>
      <c r="L74" s="54">
        <f t="shared" si="8"/>
        <v>0.69</v>
      </c>
      <c r="M74" s="54">
        <f t="shared" si="9"/>
        <v>0.02</v>
      </c>
      <c r="N74" s="54">
        <f t="shared" si="10"/>
        <v>0.28999999999999998</v>
      </c>
      <c r="O74" s="54">
        <f t="shared" si="11"/>
        <v>0.69</v>
      </c>
      <c r="P74" s="54">
        <f t="shared" si="12"/>
        <v>0.02</v>
      </c>
      <c r="Q74" s="54">
        <f t="shared" si="13"/>
        <v>0.28999999999999998</v>
      </c>
      <c r="R74" s="54">
        <f t="shared" si="14"/>
        <v>0.69</v>
      </c>
      <c r="S74" s="55">
        <f t="shared" si="15"/>
        <v>0.02</v>
      </c>
      <c r="T74" s="54">
        <f t="shared" si="16"/>
        <v>0.28999999999999998</v>
      </c>
      <c r="U74" s="54">
        <f t="shared" si="17"/>
        <v>0.69</v>
      </c>
      <c r="V74" s="54">
        <f t="shared" si="18"/>
        <v>0.02</v>
      </c>
      <c r="W74" s="54">
        <f t="shared" si="19"/>
        <v>0.28999999999999998</v>
      </c>
      <c r="X74" s="54">
        <f t="shared" si="20"/>
        <v>0.69</v>
      </c>
      <c r="Y74" s="54">
        <f t="shared" si="21"/>
        <v>0.02</v>
      </c>
      <c r="Z74" s="54">
        <f t="shared" si="22"/>
        <v>0.28999999999999998</v>
      </c>
      <c r="AA74" s="54">
        <f t="shared" si="23"/>
        <v>0.69</v>
      </c>
      <c r="AB74" s="54">
        <f t="shared" si="24"/>
        <v>0.02</v>
      </c>
      <c r="AC74" s="54">
        <f t="shared" si="25"/>
        <v>0.28999999999999998</v>
      </c>
      <c r="AD74" s="54">
        <f t="shared" si="26"/>
        <v>0.69</v>
      </c>
      <c r="AE74" s="54">
        <f t="shared" si="27"/>
        <v>0.02</v>
      </c>
      <c r="AF74" s="54">
        <f t="shared" si="28"/>
        <v>0.28999999999999998</v>
      </c>
      <c r="AG74" s="54">
        <f t="shared" si="29"/>
        <v>0.69</v>
      </c>
      <c r="AH74" s="54">
        <f t="shared" si="30"/>
        <v>0.02</v>
      </c>
      <c r="AI74" s="54">
        <f t="shared" si="31"/>
        <v>0.28999999999999998</v>
      </c>
      <c r="AJ74" s="54">
        <f t="shared" si="32"/>
        <v>0.69</v>
      </c>
      <c r="AK74" s="54">
        <f t="shared" si="33"/>
        <v>0.02</v>
      </c>
      <c r="AL74" s="54">
        <f t="shared" si="34"/>
        <v>0.28999999999999998</v>
      </c>
      <c r="AM74" s="54">
        <f t="shared" si="35"/>
        <v>0.69</v>
      </c>
      <c r="AN74" s="54">
        <f t="shared" si="36"/>
        <v>0.02</v>
      </c>
      <c r="AO74" s="54">
        <f t="shared" si="37"/>
        <v>0.28999999999999998</v>
      </c>
      <c r="AP74" s="54">
        <f t="shared" si="38"/>
        <v>0.69</v>
      </c>
      <c r="AQ74" s="54">
        <f t="shared" si="39"/>
        <v>0.02</v>
      </c>
      <c r="AR74" s="54">
        <f t="shared" si="40"/>
        <v>0.28999999999999998</v>
      </c>
    </row>
    <row r="75" spans="1:44">
      <c r="A75" s="4" t="s">
        <v>97</v>
      </c>
      <c r="B75" s="4">
        <v>5</v>
      </c>
      <c r="C75" s="55">
        <f>modAllocation!C5</f>
        <v>0.69</v>
      </c>
      <c r="D75" s="55">
        <f>modAllocation!D5</f>
        <v>0.02</v>
      </c>
      <c r="E75" s="55">
        <f>modAllocation!E5</f>
        <v>0.28999999999999998</v>
      </c>
      <c r="F75" s="54">
        <f t="shared" si="2"/>
        <v>0.69</v>
      </c>
      <c r="G75" s="54">
        <f t="shared" si="3"/>
        <v>0.02</v>
      </c>
      <c r="H75" s="54">
        <f t="shared" si="4"/>
        <v>0.28999999999999998</v>
      </c>
      <c r="I75" s="54">
        <f t="shared" si="5"/>
        <v>0.69</v>
      </c>
      <c r="J75" s="54">
        <f t="shared" si="6"/>
        <v>0.02</v>
      </c>
      <c r="K75" s="54">
        <f t="shared" si="7"/>
        <v>0.28999999999999998</v>
      </c>
      <c r="L75" s="54">
        <f t="shared" si="8"/>
        <v>0.69</v>
      </c>
      <c r="M75" s="54">
        <f t="shared" si="9"/>
        <v>0.02</v>
      </c>
      <c r="N75" s="54">
        <f t="shared" si="10"/>
        <v>0.28999999999999998</v>
      </c>
      <c r="O75" s="54">
        <f t="shared" si="11"/>
        <v>0.69</v>
      </c>
      <c r="P75" s="54">
        <f t="shared" si="12"/>
        <v>0.02</v>
      </c>
      <c r="Q75" s="54">
        <f t="shared" si="13"/>
        <v>0.28999999999999998</v>
      </c>
      <c r="R75" s="54">
        <f t="shared" si="14"/>
        <v>0.69</v>
      </c>
      <c r="S75" s="55">
        <f t="shared" si="15"/>
        <v>0.02</v>
      </c>
      <c r="T75" s="54">
        <f t="shared" si="16"/>
        <v>0.28999999999999998</v>
      </c>
      <c r="U75" s="54">
        <f t="shared" si="17"/>
        <v>0.69</v>
      </c>
      <c r="V75" s="54">
        <f t="shared" si="18"/>
        <v>0.02</v>
      </c>
      <c r="W75" s="54">
        <f t="shared" si="19"/>
        <v>0.28999999999999998</v>
      </c>
      <c r="X75" s="54">
        <f t="shared" si="20"/>
        <v>0.69</v>
      </c>
      <c r="Y75" s="54">
        <f t="shared" si="21"/>
        <v>0.02</v>
      </c>
      <c r="Z75" s="54">
        <f t="shared" si="22"/>
        <v>0.28999999999999998</v>
      </c>
      <c r="AA75" s="54">
        <f t="shared" si="23"/>
        <v>0.69</v>
      </c>
      <c r="AB75" s="54">
        <f t="shared" si="24"/>
        <v>0.02</v>
      </c>
      <c r="AC75" s="54">
        <f t="shared" si="25"/>
        <v>0.28999999999999998</v>
      </c>
      <c r="AD75" s="54">
        <f t="shared" si="26"/>
        <v>0.69</v>
      </c>
      <c r="AE75" s="54">
        <f t="shared" si="27"/>
        <v>0.02</v>
      </c>
      <c r="AF75" s="54">
        <f t="shared" si="28"/>
        <v>0.28999999999999998</v>
      </c>
      <c r="AG75" s="54">
        <f t="shared" si="29"/>
        <v>0.69</v>
      </c>
      <c r="AH75" s="54">
        <f t="shared" si="30"/>
        <v>0.02</v>
      </c>
      <c r="AI75" s="54">
        <f t="shared" si="31"/>
        <v>0.28999999999999998</v>
      </c>
      <c r="AJ75" s="54">
        <f t="shared" si="32"/>
        <v>0.69</v>
      </c>
      <c r="AK75" s="54">
        <f t="shared" si="33"/>
        <v>0.02</v>
      </c>
      <c r="AL75" s="54">
        <f t="shared" si="34"/>
        <v>0.28999999999999998</v>
      </c>
      <c r="AM75" s="54">
        <f t="shared" si="35"/>
        <v>0.69</v>
      </c>
      <c r="AN75" s="54">
        <f t="shared" si="36"/>
        <v>0.02</v>
      </c>
      <c r="AO75" s="54">
        <f t="shared" si="37"/>
        <v>0.28999999999999998</v>
      </c>
      <c r="AP75" s="54">
        <f t="shared" si="38"/>
        <v>0.69</v>
      </c>
      <c r="AQ75" s="54">
        <f t="shared" si="39"/>
        <v>0.02</v>
      </c>
      <c r="AR75" s="54">
        <f t="shared" si="40"/>
        <v>0.28999999999999998</v>
      </c>
    </row>
    <row r="76" spans="1:44">
      <c r="A76" s="4" t="s">
        <v>97</v>
      </c>
      <c r="B76" s="4">
        <v>6</v>
      </c>
      <c r="C76" s="55">
        <f>modAllocation!C6</f>
        <v>0.69</v>
      </c>
      <c r="D76" s="55">
        <f>modAllocation!D6</f>
        <v>0.02</v>
      </c>
      <c r="E76" s="55">
        <f>modAllocation!E6</f>
        <v>0.28999999999999998</v>
      </c>
      <c r="F76" s="54">
        <f t="shared" si="2"/>
        <v>0.69</v>
      </c>
      <c r="G76" s="54">
        <f t="shared" si="3"/>
        <v>0.02</v>
      </c>
      <c r="H76" s="54">
        <f t="shared" si="4"/>
        <v>0.28999999999999998</v>
      </c>
      <c r="I76" s="54">
        <f t="shared" si="5"/>
        <v>0.69</v>
      </c>
      <c r="J76" s="54">
        <f t="shared" si="6"/>
        <v>0.02</v>
      </c>
      <c r="K76" s="54">
        <f t="shared" si="7"/>
        <v>0.28999999999999998</v>
      </c>
      <c r="L76" s="54">
        <f t="shared" si="8"/>
        <v>0.69</v>
      </c>
      <c r="M76" s="54">
        <f t="shared" si="9"/>
        <v>0.02</v>
      </c>
      <c r="N76" s="54">
        <f t="shared" si="10"/>
        <v>0.28999999999999998</v>
      </c>
      <c r="O76" s="54">
        <f t="shared" si="11"/>
        <v>0.69</v>
      </c>
      <c r="P76" s="54">
        <f t="shared" si="12"/>
        <v>0.02</v>
      </c>
      <c r="Q76" s="54">
        <f t="shared" si="13"/>
        <v>0.28999999999999998</v>
      </c>
      <c r="R76" s="54">
        <f t="shared" si="14"/>
        <v>0.69</v>
      </c>
      <c r="S76" s="55">
        <f t="shared" si="15"/>
        <v>0.02</v>
      </c>
      <c r="T76" s="54">
        <f t="shared" si="16"/>
        <v>0.28999999999999998</v>
      </c>
      <c r="U76" s="54">
        <f t="shared" si="17"/>
        <v>0.69</v>
      </c>
      <c r="V76" s="54">
        <f t="shared" si="18"/>
        <v>0.02</v>
      </c>
      <c r="W76" s="54">
        <f t="shared" si="19"/>
        <v>0.28999999999999998</v>
      </c>
      <c r="X76" s="54">
        <f t="shared" si="20"/>
        <v>0.69</v>
      </c>
      <c r="Y76" s="54">
        <f t="shared" si="21"/>
        <v>0.02</v>
      </c>
      <c r="Z76" s="54">
        <f t="shared" si="22"/>
        <v>0.28999999999999998</v>
      </c>
      <c r="AA76" s="54">
        <f t="shared" si="23"/>
        <v>0.69</v>
      </c>
      <c r="AB76" s="54">
        <f t="shared" si="24"/>
        <v>0.02</v>
      </c>
      <c r="AC76" s="54">
        <f t="shared" si="25"/>
        <v>0.28999999999999998</v>
      </c>
      <c r="AD76" s="54">
        <f t="shared" si="26"/>
        <v>0.69</v>
      </c>
      <c r="AE76" s="54">
        <f t="shared" si="27"/>
        <v>0.02</v>
      </c>
      <c r="AF76" s="54">
        <f t="shared" si="28"/>
        <v>0.28999999999999998</v>
      </c>
      <c r="AG76" s="54">
        <f t="shared" si="29"/>
        <v>0.69</v>
      </c>
      <c r="AH76" s="54">
        <f t="shared" si="30"/>
        <v>0.02</v>
      </c>
      <c r="AI76" s="54">
        <f t="shared" si="31"/>
        <v>0.28999999999999998</v>
      </c>
      <c r="AJ76" s="54">
        <f t="shared" si="32"/>
        <v>0.69</v>
      </c>
      <c r="AK76" s="54">
        <f t="shared" si="33"/>
        <v>0.02</v>
      </c>
      <c r="AL76" s="54">
        <f t="shared" si="34"/>
        <v>0.28999999999999998</v>
      </c>
      <c r="AM76" s="54">
        <f t="shared" si="35"/>
        <v>0.69</v>
      </c>
      <c r="AN76" s="54">
        <f t="shared" si="36"/>
        <v>0.02</v>
      </c>
      <c r="AO76" s="54">
        <f t="shared" si="37"/>
        <v>0.28999999999999998</v>
      </c>
      <c r="AP76" s="54">
        <f t="shared" si="38"/>
        <v>0.69</v>
      </c>
      <c r="AQ76" s="54">
        <f t="shared" si="39"/>
        <v>0.02</v>
      </c>
      <c r="AR76" s="54">
        <f t="shared" si="40"/>
        <v>0.28999999999999998</v>
      </c>
    </row>
    <row r="77" spans="1:44">
      <c r="A77" s="4" t="s">
        <v>98</v>
      </c>
      <c r="B77" s="4">
        <v>1</v>
      </c>
      <c r="C77" s="55">
        <f>modAllocation!C7</f>
        <v>0</v>
      </c>
      <c r="D77" s="55">
        <f>modAllocation!D7</f>
        <v>0.2</v>
      </c>
      <c r="E77" s="55">
        <f>modAllocation!E7</f>
        <v>0.8</v>
      </c>
      <c r="F77" s="2">
        <v>0</v>
      </c>
      <c r="G77" s="2">
        <f t="shared" ref="G77:G82" si="41">$B$16</f>
        <v>0.1891891891891892</v>
      </c>
      <c r="H77" s="2">
        <f t="shared" ref="H77:H82" si="42">1-G77</f>
        <v>0.81081081081081074</v>
      </c>
      <c r="I77" s="2">
        <v>0</v>
      </c>
      <c r="J77" s="2">
        <f t="shared" ref="J77:J82" si="43">$C$16</f>
        <v>0.1891891891891892</v>
      </c>
      <c r="K77" s="2">
        <f t="shared" ref="K77:K82" si="44">1-J77</f>
        <v>0.81081081081081074</v>
      </c>
      <c r="L77" s="2">
        <v>0</v>
      </c>
      <c r="M77" s="2">
        <f t="shared" ref="M77:M82" si="45">$D$16</f>
        <v>0.1891891891891892</v>
      </c>
      <c r="N77" s="2">
        <f t="shared" ref="N77:N82" si="46">1-M77</f>
        <v>0.81081081081081074</v>
      </c>
      <c r="O77" s="2">
        <v>0</v>
      </c>
      <c r="P77" s="2">
        <f t="shared" ref="P77:P82" si="47">$E$16</f>
        <v>0.1891891891891892</v>
      </c>
      <c r="Q77" s="2">
        <f t="shared" ref="Q77:Q82" si="48">1-P77</f>
        <v>0.81081081081081074</v>
      </c>
      <c r="R77" s="2">
        <v>0</v>
      </c>
      <c r="S77" s="53">
        <f t="shared" ref="S77:S82" si="49">$F$16</f>
        <v>0.1891891891891892</v>
      </c>
      <c r="T77" s="2">
        <f t="shared" ref="T77:T82" si="50">1-S77</f>
        <v>0.81081081081081074</v>
      </c>
      <c r="U77" s="2">
        <v>0</v>
      </c>
      <c r="V77" s="2">
        <f t="shared" ref="V77:V82" si="51">$G$16</f>
        <v>0.1891891891891892</v>
      </c>
      <c r="W77" s="2">
        <f t="shared" ref="W77:W82" si="52">1-V77</f>
        <v>0.81081081081081074</v>
      </c>
      <c r="X77" s="2">
        <v>0</v>
      </c>
      <c r="Y77" s="2">
        <f t="shared" ref="Y77:Y82" si="53">$H$16</f>
        <v>0.1891891891891892</v>
      </c>
      <c r="Z77" s="2">
        <f t="shared" ref="Z77:Z82" si="54">1-Y77</f>
        <v>0.81081081081081074</v>
      </c>
      <c r="AA77" s="2">
        <v>0</v>
      </c>
      <c r="AB77" s="2">
        <f t="shared" ref="AB77:AB82" si="55">$I$16</f>
        <v>0.1891891891891892</v>
      </c>
      <c r="AC77" s="2">
        <f t="shared" ref="AC77:AC82" si="56">1-AB77</f>
        <v>0.81081081081081074</v>
      </c>
      <c r="AD77" s="2">
        <v>0</v>
      </c>
      <c r="AE77" s="2">
        <f t="shared" ref="AE77:AE82" si="57">$J$16</f>
        <v>0.1891891891891892</v>
      </c>
      <c r="AF77" s="2">
        <f t="shared" ref="AF77:AF82" si="58">1-AE77</f>
        <v>0.81081081081081074</v>
      </c>
      <c r="AG77" s="2">
        <v>0</v>
      </c>
      <c r="AH77" s="2">
        <f t="shared" ref="AH77:AH82" si="59">$K$16</f>
        <v>0.1891891891891892</v>
      </c>
      <c r="AI77" s="2">
        <f t="shared" ref="AI77:AI82" si="60">1-AH77</f>
        <v>0.81081081081081074</v>
      </c>
      <c r="AJ77" s="2">
        <v>0</v>
      </c>
      <c r="AK77" s="2">
        <f t="shared" ref="AK77:AK82" si="61">$L$16</f>
        <v>0.1891891891891892</v>
      </c>
      <c r="AL77" s="2">
        <f t="shared" ref="AL77:AL82" si="62">1-AK77</f>
        <v>0.81081081081081074</v>
      </c>
      <c r="AM77" s="2">
        <v>0</v>
      </c>
      <c r="AN77" s="2">
        <f t="shared" ref="AN77:AN82" si="63">$M$16</f>
        <v>0.1891891891891892</v>
      </c>
      <c r="AO77" s="2">
        <f t="shared" ref="AO77:AO82" si="64">1-AN77</f>
        <v>0.81081081081081074</v>
      </c>
      <c r="AP77" s="2">
        <v>0</v>
      </c>
      <c r="AQ77" s="2">
        <f t="shared" ref="AQ77:AQ82" si="65">$N$16</f>
        <v>0.1891891891891892</v>
      </c>
      <c r="AR77" s="2">
        <f t="shared" ref="AR77:AR82" si="66">1-AQ77</f>
        <v>0.81081081081081074</v>
      </c>
    </row>
    <row r="78" spans="1:44">
      <c r="A78" s="4" t="s">
        <v>98</v>
      </c>
      <c r="B78" s="4">
        <v>2</v>
      </c>
      <c r="C78" s="55">
        <f>modAllocation!C8</f>
        <v>0</v>
      </c>
      <c r="D78" s="55">
        <f>modAllocation!D8</f>
        <v>0.2</v>
      </c>
      <c r="E78" s="55">
        <f>modAllocation!E8</f>
        <v>0.8</v>
      </c>
      <c r="F78" s="2">
        <v>0</v>
      </c>
      <c r="G78" s="2">
        <f t="shared" si="41"/>
        <v>0.1891891891891892</v>
      </c>
      <c r="H78" s="2">
        <f t="shared" si="42"/>
        <v>0.81081081081081074</v>
      </c>
      <c r="I78" s="2">
        <v>0</v>
      </c>
      <c r="J78" s="2">
        <f t="shared" si="43"/>
        <v>0.1891891891891892</v>
      </c>
      <c r="K78" s="2">
        <f t="shared" si="44"/>
        <v>0.81081081081081074</v>
      </c>
      <c r="L78" s="2">
        <v>0</v>
      </c>
      <c r="M78" s="2">
        <f t="shared" si="45"/>
        <v>0.1891891891891892</v>
      </c>
      <c r="N78" s="2">
        <f t="shared" si="46"/>
        <v>0.81081081081081074</v>
      </c>
      <c r="O78" s="2">
        <v>0</v>
      </c>
      <c r="P78" s="2">
        <f t="shared" si="47"/>
        <v>0.1891891891891892</v>
      </c>
      <c r="Q78" s="2">
        <f t="shared" si="48"/>
        <v>0.81081081081081074</v>
      </c>
      <c r="R78" s="2">
        <v>0</v>
      </c>
      <c r="S78" s="53">
        <f t="shared" si="49"/>
        <v>0.1891891891891892</v>
      </c>
      <c r="T78" s="2">
        <f t="shared" si="50"/>
        <v>0.81081081081081074</v>
      </c>
      <c r="U78" s="2">
        <v>0</v>
      </c>
      <c r="V78" s="2">
        <f t="shared" si="51"/>
        <v>0.1891891891891892</v>
      </c>
      <c r="W78" s="2">
        <f t="shared" si="52"/>
        <v>0.81081081081081074</v>
      </c>
      <c r="X78" s="2">
        <v>0</v>
      </c>
      <c r="Y78" s="2">
        <f t="shared" si="53"/>
        <v>0.1891891891891892</v>
      </c>
      <c r="Z78" s="2">
        <f t="shared" si="54"/>
        <v>0.81081081081081074</v>
      </c>
      <c r="AA78" s="2">
        <v>0</v>
      </c>
      <c r="AB78" s="2">
        <f t="shared" si="55"/>
        <v>0.1891891891891892</v>
      </c>
      <c r="AC78" s="2">
        <f t="shared" si="56"/>
        <v>0.81081081081081074</v>
      </c>
      <c r="AD78" s="2">
        <v>0</v>
      </c>
      <c r="AE78" s="2">
        <f t="shared" si="57"/>
        <v>0.1891891891891892</v>
      </c>
      <c r="AF78" s="2">
        <f t="shared" si="58"/>
        <v>0.81081081081081074</v>
      </c>
      <c r="AG78" s="2">
        <v>0</v>
      </c>
      <c r="AH78" s="2">
        <f t="shared" si="59"/>
        <v>0.1891891891891892</v>
      </c>
      <c r="AI78" s="2">
        <f t="shared" si="60"/>
        <v>0.81081081081081074</v>
      </c>
      <c r="AJ78" s="2">
        <v>0</v>
      </c>
      <c r="AK78" s="2">
        <f t="shared" si="61"/>
        <v>0.1891891891891892</v>
      </c>
      <c r="AL78" s="2">
        <f t="shared" si="62"/>
        <v>0.81081081081081074</v>
      </c>
      <c r="AM78" s="2">
        <v>0</v>
      </c>
      <c r="AN78" s="2">
        <f t="shared" si="63"/>
        <v>0.1891891891891892</v>
      </c>
      <c r="AO78" s="2">
        <f t="shared" si="64"/>
        <v>0.81081081081081074</v>
      </c>
      <c r="AP78" s="2">
        <v>0</v>
      </c>
      <c r="AQ78" s="2">
        <f t="shared" si="65"/>
        <v>0.1891891891891892</v>
      </c>
      <c r="AR78" s="2">
        <f t="shared" si="66"/>
        <v>0.81081081081081074</v>
      </c>
    </row>
    <row r="79" spans="1:44">
      <c r="A79" s="4" t="s">
        <v>98</v>
      </c>
      <c r="B79" s="4">
        <v>3</v>
      </c>
      <c r="C79" s="55">
        <f>modAllocation!C9</f>
        <v>0</v>
      </c>
      <c r="D79" s="55">
        <f>modAllocation!D9</f>
        <v>0.2</v>
      </c>
      <c r="E79" s="55">
        <f>modAllocation!E9</f>
        <v>0.8</v>
      </c>
      <c r="F79" s="2">
        <v>0</v>
      </c>
      <c r="G79" s="2">
        <f t="shared" si="41"/>
        <v>0.1891891891891892</v>
      </c>
      <c r="H79" s="2">
        <f t="shared" si="42"/>
        <v>0.81081081081081074</v>
      </c>
      <c r="I79" s="2">
        <v>0</v>
      </c>
      <c r="J79" s="2">
        <f t="shared" si="43"/>
        <v>0.1891891891891892</v>
      </c>
      <c r="K79" s="2">
        <f t="shared" si="44"/>
        <v>0.81081081081081074</v>
      </c>
      <c r="L79" s="2">
        <v>0</v>
      </c>
      <c r="M79" s="2">
        <f t="shared" si="45"/>
        <v>0.1891891891891892</v>
      </c>
      <c r="N79" s="2">
        <f t="shared" si="46"/>
        <v>0.81081081081081074</v>
      </c>
      <c r="O79" s="2">
        <v>0</v>
      </c>
      <c r="P79" s="2">
        <f t="shared" si="47"/>
        <v>0.1891891891891892</v>
      </c>
      <c r="Q79" s="2">
        <f t="shared" si="48"/>
        <v>0.81081081081081074</v>
      </c>
      <c r="R79" s="2">
        <v>0</v>
      </c>
      <c r="S79" s="53">
        <f t="shared" si="49"/>
        <v>0.1891891891891892</v>
      </c>
      <c r="T79" s="2">
        <f t="shared" si="50"/>
        <v>0.81081081081081074</v>
      </c>
      <c r="U79" s="2">
        <v>0</v>
      </c>
      <c r="V79" s="2">
        <f t="shared" si="51"/>
        <v>0.1891891891891892</v>
      </c>
      <c r="W79" s="2">
        <f t="shared" si="52"/>
        <v>0.81081081081081074</v>
      </c>
      <c r="X79" s="2">
        <v>0</v>
      </c>
      <c r="Y79" s="2">
        <f t="shared" si="53"/>
        <v>0.1891891891891892</v>
      </c>
      <c r="Z79" s="2">
        <f t="shared" si="54"/>
        <v>0.81081081081081074</v>
      </c>
      <c r="AA79" s="2">
        <v>0</v>
      </c>
      <c r="AB79" s="2">
        <f t="shared" si="55"/>
        <v>0.1891891891891892</v>
      </c>
      <c r="AC79" s="2">
        <f t="shared" si="56"/>
        <v>0.81081081081081074</v>
      </c>
      <c r="AD79" s="2">
        <v>0</v>
      </c>
      <c r="AE79" s="2">
        <f t="shared" si="57"/>
        <v>0.1891891891891892</v>
      </c>
      <c r="AF79" s="2">
        <f t="shared" si="58"/>
        <v>0.81081081081081074</v>
      </c>
      <c r="AG79" s="2">
        <v>0</v>
      </c>
      <c r="AH79" s="2">
        <f t="shared" si="59"/>
        <v>0.1891891891891892</v>
      </c>
      <c r="AI79" s="2">
        <f t="shared" si="60"/>
        <v>0.81081081081081074</v>
      </c>
      <c r="AJ79" s="2">
        <v>0</v>
      </c>
      <c r="AK79" s="2">
        <f t="shared" si="61"/>
        <v>0.1891891891891892</v>
      </c>
      <c r="AL79" s="2">
        <f t="shared" si="62"/>
        <v>0.81081081081081074</v>
      </c>
      <c r="AM79" s="2">
        <v>0</v>
      </c>
      <c r="AN79" s="2">
        <f t="shared" si="63"/>
        <v>0.1891891891891892</v>
      </c>
      <c r="AO79" s="2">
        <f t="shared" si="64"/>
        <v>0.81081081081081074</v>
      </c>
      <c r="AP79" s="2">
        <v>0</v>
      </c>
      <c r="AQ79" s="2">
        <f t="shared" si="65"/>
        <v>0.1891891891891892</v>
      </c>
      <c r="AR79" s="2">
        <f t="shared" si="66"/>
        <v>0.81081081081081074</v>
      </c>
    </row>
    <row r="80" spans="1:44">
      <c r="A80" s="4" t="s">
        <v>98</v>
      </c>
      <c r="B80" s="4">
        <v>4</v>
      </c>
      <c r="C80" s="55">
        <f>modAllocation!C10</f>
        <v>0</v>
      </c>
      <c r="D80" s="55">
        <f>modAllocation!D10</f>
        <v>0.2</v>
      </c>
      <c r="E80" s="55">
        <f>modAllocation!E10</f>
        <v>0.8</v>
      </c>
      <c r="F80" s="2">
        <v>0</v>
      </c>
      <c r="G80" s="2">
        <f t="shared" si="41"/>
        <v>0.1891891891891892</v>
      </c>
      <c r="H80" s="2">
        <f t="shared" si="42"/>
        <v>0.81081081081081074</v>
      </c>
      <c r="I80" s="2">
        <v>0</v>
      </c>
      <c r="J80" s="2">
        <f t="shared" si="43"/>
        <v>0.1891891891891892</v>
      </c>
      <c r="K80" s="2">
        <f t="shared" si="44"/>
        <v>0.81081081081081074</v>
      </c>
      <c r="L80" s="2">
        <v>0</v>
      </c>
      <c r="M80" s="2">
        <f t="shared" si="45"/>
        <v>0.1891891891891892</v>
      </c>
      <c r="N80" s="2">
        <f t="shared" si="46"/>
        <v>0.81081081081081074</v>
      </c>
      <c r="O80" s="2">
        <v>0</v>
      </c>
      <c r="P80" s="2">
        <f t="shared" si="47"/>
        <v>0.1891891891891892</v>
      </c>
      <c r="Q80" s="2">
        <f t="shared" si="48"/>
        <v>0.81081081081081074</v>
      </c>
      <c r="R80" s="2">
        <v>0</v>
      </c>
      <c r="S80" s="53">
        <f t="shared" si="49"/>
        <v>0.1891891891891892</v>
      </c>
      <c r="T80" s="2">
        <f t="shared" si="50"/>
        <v>0.81081081081081074</v>
      </c>
      <c r="U80" s="2">
        <v>0</v>
      </c>
      <c r="V80" s="2">
        <f t="shared" si="51"/>
        <v>0.1891891891891892</v>
      </c>
      <c r="W80" s="2">
        <f t="shared" si="52"/>
        <v>0.81081081081081074</v>
      </c>
      <c r="X80" s="2">
        <v>0</v>
      </c>
      <c r="Y80" s="2">
        <f t="shared" si="53"/>
        <v>0.1891891891891892</v>
      </c>
      <c r="Z80" s="2">
        <f t="shared" si="54"/>
        <v>0.81081081081081074</v>
      </c>
      <c r="AA80" s="2">
        <v>0</v>
      </c>
      <c r="AB80" s="2">
        <f t="shared" si="55"/>
        <v>0.1891891891891892</v>
      </c>
      <c r="AC80" s="2">
        <f t="shared" si="56"/>
        <v>0.81081081081081074</v>
      </c>
      <c r="AD80" s="2">
        <v>0</v>
      </c>
      <c r="AE80" s="2">
        <f t="shared" si="57"/>
        <v>0.1891891891891892</v>
      </c>
      <c r="AF80" s="2">
        <f t="shared" si="58"/>
        <v>0.81081081081081074</v>
      </c>
      <c r="AG80" s="2">
        <v>0</v>
      </c>
      <c r="AH80" s="2">
        <f t="shared" si="59"/>
        <v>0.1891891891891892</v>
      </c>
      <c r="AI80" s="2">
        <f t="shared" si="60"/>
        <v>0.81081081081081074</v>
      </c>
      <c r="AJ80" s="2">
        <v>0</v>
      </c>
      <c r="AK80" s="2">
        <f t="shared" si="61"/>
        <v>0.1891891891891892</v>
      </c>
      <c r="AL80" s="2">
        <f t="shared" si="62"/>
        <v>0.81081081081081074</v>
      </c>
      <c r="AM80" s="2">
        <v>0</v>
      </c>
      <c r="AN80" s="2">
        <f t="shared" si="63"/>
        <v>0.1891891891891892</v>
      </c>
      <c r="AO80" s="2">
        <f t="shared" si="64"/>
        <v>0.81081081081081074</v>
      </c>
      <c r="AP80" s="2">
        <v>0</v>
      </c>
      <c r="AQ80" s="2">
        <f t="shared" si="65"/>
        <v>0.1891891891891892</v>
      </c>
      <c r="AR80" s="2">
        <f t="shared" si="66"/>
        <v>0.81081081081081074</v>
      </c>
    </row>
    <row r="81" spans="1:44">
      <c r="A81" s="4" t="s">
        <v>98</v>
      </c>
      <c r="B81" s="4">
        <v>5</v>
      </c>
      <c r="C81" s="55">
        <f>modAllocation!C11</f>
        <v>0</v>
      </c>
      <c r="D81" s="55">
        <f>modAllocation!D11</f>
        <v>0.2</v>
      </c>
      <c r="E81" s="55">
        <f>modAllocation!E11</f>
        <v>0.8</v>
      </c>
      <c r="F81" s="2">
        <v>0</v>
      </c>
      <c r="G81" s="2">
        <f t="shared" si="41"/>
        <v>0.1891891891891892</v>
      </c>
      <c r="H81" s="2">
        <f t="shared" si="42"/>
        <v>0.81081081081081074</v>
      </c>
      <c r="I81" s="2">
        <v>0</v>
      </c>
      <c r="J81" s="2">
        <f t="shared" si="43"/>
        <v>0.1891891891891892</v>
      </c>
      <c r="K81" s="2">
        <f t="shared" si="44"/>
        <v>0.81081081081081074</v>
      </c>
      <c r="L81" s="2">
        <v>0</v>
      </c>
      <c r="M81" s="2">
        <f t="shared" si="45"/>
        <v>0.1891891891891892</v>
      </c>
      <c r="N81" s="2">
        <f t="shared" si="46"/>
        <v>0.81081081081081074</v>
      </c>
      <c r="O81" s="2">
        <v>0</v>
      </c>
      <c r="P81" s="2">
        <f t="shared" si="47"/>
        <v>0.1891891891891892</v>
      </c>
      <c r="Q81" s="2">
        <f t="shared" si="48"/>
        <v>0.81081081081081074</v>
      </c>
      <c r="R81" s="2">
        <v>0</v>
      </c>
      <c r="S81" s="53">
        <f t="shared" si="49"/>
        <v>0.1891891891891892</v>
      </c>
      <c r="T81" s="2">
        <f t="shared" si="50"/>
        <v>0.81081081081081074</v>
      </c>
      <c r="U81" s="2">
        <v>0</v>
      </c>
      <c r="V81" s="2">
        <f t="shared" si="51"/>
        <v>0.1891891891891892</v>
      </c>
      <c r="W81" s="2">
        <f t="shared" si="52"/>
        <v>0.81081081081081074</v>
      </c>
      <c r="X81" s="2">
        <v>0</v>
      </c>
      <c r="Y81" s="2">
        <f t="shared" si="53"/>
        <v>0.1891891891891892</v>
      </c>
      <c r="Z81" s="2">
        <f t="shared" si="54"/>
        <v>0.81081081081081074</v>
      </c>
      <c r="AA81" s="2">
        <v>0</v>
      </c>
      <c r="AB81" s="2">
        <f t="shared" si="55"/>
        <v>0.1891891891891892</v>
      </c>
      <c r="AC81" s="2">
        <f t="shared" si="56"/>
        <v>0.81081081081081074</v>
      </c>
      <c r="AD81" s="2">
        <v>0</v>
      </c>
      <c r="AE81" s="2">
        <f t="shared" si="57"/>
        <v>0.1891891891891892</v>
      </c>
      <c r="AF81" s="2">
        <f t="shared" si="58"/>
        <v>0.81081081081081074</v>
      </c>
      <c r="AG81" s="2">
        <v>0</v>
      </c>
      <c r="AH81" s="2">
        <f t="shared" si="59"/>
        <v>0.1891891891891892</v>
      </c>
      <c r="AI81" s="2">
        <f t="shared" si="60"/>
        <v>0.81081081081081074</v>
      </c>
      <c r="AJ81" s="2">
        <v>0</v>
      </c>
      <c r="AK81" s="2">
        <f t="shared" si="61"/>
        <v>0.1891891891891892</v>
      </c>
      <c r="AL81" s="2">
        <f t="shared" si="62"/>
        <v>0.81081081081081074</v>
      </c>
      <c r="AM81" s="2">
        <v>0</v>
      </c>
      <c r="AN81" s="2">
        <f t="shared" si="63"/>
        <v>0.1891891891891892</v>
      </c>
      <c r="AO81" s="2">
        <f t="shared" si="64"/>
        <v>0.81081081081081074</v>
      </c>
      <c r="AP81" s="2">
        <v>0</v>
      </c>
      <c r="AQ81" s="2">
        <f t="shared" si="65"/>
        <v>0.1891891891891892</v>
      </c>
      <c r="AR81" s="2">
        <f t="shared" si="66"/>
        <v>0.81081081081081074</v>
      </c>
    </row>
    <row r="82" spans="1:44">
      <c r="A82" s="4" t="s">
        <v>98</v>
      </c>
      <c r="B82" s="4">
        <v>6</v>
      </c>
      <c r="C82" s="55">
        <f>modAllocation!C12</f>
        <v>0</v>
      </c>
      <c r="D82" s="55">
        <f>modAllocation!D12</f>
        <v>0.2</v>
      </c>
      <c r="E82" s="55">
        <f>modAllocation!E12</f>
        <v>0.8</v>
      </c>
      <c r="F82" s="2">
        <v>0</v>
      </c>
      <c r="G82" s="2">
        <f t="shared" si="41"/>
        <v>0.1891891891891892</v>
      </c>
      <c r="H82" s="2">
        <f t="shared" si="42"/>
        <v>0.81081081081081074</v>
      </c>
      <c r="I82" s="2">
        <v>0</v>
      </c>
      <c r="J82" s="2">
        <f t="shared" si="43"/>
        <v>0.1891891891891892</v>
      </c>
      <c r="K82" s="2">
        <f t="shared" si="44"/>
        <v>0.81081081081081074</v>
      </c>
      <c r="L82" s="2">
        <v>0</v>
      </c>
      <c r="M82" s="2">
        <f t="shared" si="45"/>
        <v>0.1891891891891892</v>
      </c>
      <c r="N82" s="2">
        <f t="shared" si="46"/>
        <v>0.81081081081081074</v>
      </c>
      <c r="O82" s="2">
        <v>0</v>
      </c>
      <c r="P82" s="2">
        <f t="shared" si="47"/>
        <v>0.1891891891891892</v>
      </c>
      <c r="Q82" s="2">
        <f t="shared" si="48"/>
        <v>0.81081081081081074</v>
      </c>
      <c r="R82" s="2">
        <v>0</v>
      </c>
      <c r="S82" s="53">
        <f t="shared" si="49"/>
        <v>0.1891891891891892</v>
      </c>
      <c r="T82" s="2">
        <f t="shared" si="50"/>
        <v>0.81081081081081074</v>
      </c>
      <c r="U82" s="2">
        <v>0</v>
      </c>
      <c r="V82" s="2">
        <f t="shared" si="51"/>
        <v>0.1891891891891892</v>
      </c>
      <c r="W82" s="2">
        <f t="shared" si="52"/>
        <v>0.81081081081081074</v>
      </c>
      <c r="X82" s="2">
        <v>0</v>
      </c>
      <c r="Y82" s="2">
        <f t="shared" si="53"/>
        <v>0.1891891891891892</v>
      </c>
      <c r="Z82" s="2">
        <f t="shared" si="54"/>
        <v>0.81081081081081074</v>
      </c>
      <c r="AA82" s="2">
        <v>0</v>
      </c>
      <c r="AB82" s="2">
        <f t="shared" si="55"/>
        <v>0.1891891891891892</v>
      </c>
      <c r="AC82" s="2">
        <f t="shared" si="56"/>
        <v>0.81081081081081074</v>
      </c>
      <c r="AD82" s="2">
        <v>0</v>
      </c>
      <c r="AE82" s="2">
        <f t="shared" si="57"/>
        <v>0.1891891891891892</v>
      </c>
      <c r="AF82" s="2">
        <f t="shared" si="58"/>
        <v>0.81081081081081074</v>
      </c>
      <c r="AG82" s="2">
        <v>0</v>
      </c>
      <c r="AH82" s="2">
        <f t="shared" si="59"/>
        <v>0.1891891891891892</v>
      </c>
      <c r="AI82" s="2">
        <f t="shared" si="60"/>
        <v>0.81081081081081074</v>
      </c>
      <c r="AJ82" s="2">
        <v>0</v>
      </c>
      <c r="AK82" s="2">
        <f t="shared" si="61"/>
        <v>0.1891891891891892</v>
      </c>
      <c r="AL82" s="2">
        <f t="shared" si="62"/>
        <v>0.81081081081081074</v>
      </c>
      <c r="AM82" s="2">
        <v>0</v>
      </c>
      <c r="AN82" s="2">
        <f t="shared" si="63"/>
        <v>0.1891891891891892</v>
      </c>
      <c r="AO82" s="2">
        <f t="shared" si="64"/>
        <v>0.81081081081081074</v>
      </c>
      <c r="AP82" s="2">
        <v>0</v>
      </c>
      <c r="AQ82" s="2">
        <f t="shared" si="65"/>
        <v>0.1891891891891892</v>
      </c>
      <c r="AR82" s="2">
        <f t="shared" si="66"/>
        <v>0.81081081081081074</v>
      </c>
    </row>
    <row r="83" spans="1:44">
      <c r="A83" s="4" t="s">
        <v>99</v>
      </c>
      <c r="B83" s="4">
        <v>1</v>
      </c>
      <c r="C83" s="55">
        <f>modAllocation!C13</f>
        <v>0.9</v>
      </c>
      <c r="D83" s="55">
        <f>modAllocation!D13</f>
        <v>0</v>
      </c>
      <c r="E83" s="55">
        <f>modAllocation!E13</f>
        <v>0.1</v>
      </c>
      <c r="I83" s="4"/>
      <c r="S83" s="4"/>
    </row>
    <row r="84" spans="1:44">
      <c r="A84" s="4" t="s">
        <v>99</v>
      </c>
      <c r="B84" s="4">
        <v>2</v>
      </c>
      <c r="C84" s="55">
        <f>modAllocation!C14</f>
        <v>0.9</v>
      </c>
      <c r="D84" s="55">
        <f>modAllocation!D14</f>
        <v>0</v>
      </c>
      <c r="E84" s="55">
        <f>modAllocation!E14</f>
        <v>0.1</v>
      </c>
      <c r="S84" s="4"/>
    </row>
    <row r="85" spans="1:44">
      <c r="A85" s="4" t="s">
        <v>99</v>
      </c>
      <c r="B85" s="4">
        <v>3</v>
      </c>
      <c r="C85" s="55">
        <f>modAllocation!C15</f>
        <v>0.9</v>
      </c>
      <c r="D85" s="55">
        <f>modAllocation!D15</f>
        <v>0</v>
      </c>
      <c r="E85" s="55">
        <f>modAllocation!E15</f>
        <v>0.1</v>
      </c>
      <c r="S85" s="4"/>
    </row>
    <row r="86" spans="1:44">
      <c r="A86" s="4" t="s">
        <v>99</v>
      </c>
      <c r="B86" s="4">
        <v>4</v>
      </c>
      <c r="C86" s="55">
        <f>modAllocation!C16</f>
        <v>0.9</v>
      </c>
      <c r="D86" s="55">
        <f>modAllocation!D16</f>
        <v>0</v>
      </c>
      <c r="E86" s="55">
        <f>modAllocation!E16</f>
        <v>0.1</v>
      </c>
      <c r="S86" s="4"/>
    </row>
    <row r="87" spans="1:44">
      <c r="A87" s="4" t="s">
        <v>99</v>
      </c>
      <c r="B87" s="4">
        <v>5</v>
      </c>
      <c r="C87" s="55">
        <f>modAllocation!C17</f>
        <v>0.9</v>
      </c>
      <c r="D87" s="55">
        <f>modAllocation!D17</f>
        <v>0</v>
      </c>
      <c r="E87" s="55">
        <f>modAllocation!E17</f>
        <v>0.1</v>
      </c>
      <c r="S87" s="4"/>
    </row>
    <row r="88" spans="1:44">
      <c r="A88" s="4" t="s">
        <v>99</v>
      </c>
      <c r="B88" s="4">
        <v>6</v>
      </c>
      <c r="C88" s="55">
        <f>modAllocation!C18</f>
        <v>0.9</v>
      </c>
      <c r="D88" s="55">
        <f>modAllocation!D18</f>
        <v>0</v>
      </c>
      <c r="E88" s="55">
        <f>modAllocation!E18</f>
        <v>0.1</v>
      </c>
      <c r="S88" s="4"/>
    </row>
    <row r="89" spans="1:44">
      <c r="A89" s="4" t="s">
        <v>100</v>
      </c>
      <c r="B89" s="4">
        <v>1</v>
      </c>
      <c r="C89" s="55">
        <f>modAllocation!C19</f>
        <v>0.98</v>
      </c>
      <c r="D89" s="55">
        <f>modAllocation!D19</f>
        <v>0.02</v>
      </c>
      <c r="E89" s="55">
        <f>modAllocation!E19</f>
        <v>0</v>
      </c>
      <c r="S89" s="4"/>
    </row>
    <row r="90" spans="1:44">
      <c r="A90" s="4" t="s">
        <v>100</v>
      </c>
      <c r="B90" s="4">
        <v>2</v>
      </c>
      <c r="C90" s="55">
        <f>modAllocation!C20</f>
        <v>0.98</v>
      </c>
      <c r="D90" s="55">
        <f>modAllocation!D20</f>
        <v>0.02</v>
      </c>
      <c r="E90" s="55">
        <f>modAllocation!E20</f>
        <v>0</v>
      </c>
      <c r="S90" s="4"/>
    </row>
    <row r="91" spans="1:44">
      <c r="A91" s="4" t="s">
        <v>100</v>
      </c>
      <c r="B91" s="4">
        <v>3</v>
      </c>
      <c r="C91" s="55">
        <f>modAllocation!C21</f>
        <v>0.98</v>
      </c>
      <c r="D91" s="55">
        <f>modAllocation!D21</f>
        <v>0.02</v>
      </c>
      <c r="E91" s="55">
        <f>modAllocation!E21</f>
        <v>0</v>
      </c>
      <c r="S91" s="4"/>
    </row>
    <row r="92" spans="1:44">
      <c r="A92" s="4" t="s">
        <v>100</v>
      </c>
      <c r="B92" s="4">
        <v>4</v>
      </c>
      <c r="C92" s="55">
        <f>modAllocation!C22</f>
        <v>0.98</v>
      </c>
      <c r="D92" s="55">
        <f>modAllocation!D22</f>
        <v>0.02</v>
      </c>
      <c r="E92" s="55">
        <f>modAllocation!E22</f>
        <v>0</v>
      </c>
      <c r="S92" s="4"/>
    </row>
    <row r="93" spans="1:44">
      <c r="A93" s="4" t="s">
        <v>100</v>
      </c>
      <c r="B93" s="4">
        <v>5</v>
      </c>
      <c r="C93" s="55">
        <f>modAllocation!C23</f>
        <v>0.98</v>
      </c>
      <c r="D93" s="55">
        <f>modAllocation!D23</f>
        <v>0.02</v>
      </c>
      <c r="E93" s="55">
        <f>modAllocation!E23</f>
        <v>0</v>
      </c>
      <c r="S93" s="4"/>
    </row>
    <row r="94" spans="1:44">
      <c r="A94" s="4" t="s">
        <v>100</v>
      </c>
      <c r="B94" s="4">
        <v>6</v>
      </c>
      <c r="C94" s="55">
        <f>modAllocation!C24</f>
        <v>0.98</v>
      </c>
      <c r="D94" s="55">
        <f>modAllocation!D24</f>
        <v>0.02</v>
      </c>
      <c r="E94" s="55">
        <f>modAllocation!E24</f>
        <v>0</v>
      </c>
      <c r="S94" s="4"/>
    </row>
    <row r="95" spans="1:44">
      <c r="A95" s="4"/>
      <c r="B95" s="4"/>
      <c r="C95" s="4"/>
      <c r="S95" s="4"/>
    </row>
    <row r="96" spans="1:44">
      <c r="A96" s="4" t="s">
        <v>103</v>
      </c>
      <c r="B96" s="4" t="s">
        <v>158</v>
      </c>
      <c r="C96" s="4" t="s">
        <v>139</v>
      </c>
      <c r="F96" s="4" t="s">
        <v>190</v>
      </c>
      <c r="S96" s="4"/>
    </row>
    <row r="97" spans="1:19">
      <c r="A97" s="4">
        <v>1</v>
      </c>
      <c r="B97" s="53">
        <f>TxType!B1</f>
        <v>0.4</v>
      </c>
      <c r="C97" s="53">
        <f>TxType!B9</f>
        <v>0.4</v>
      </c>
      <c r="E97" s="4">
        <v>1</v>
      </c>
      <c r="F97" s="230">
        <f>I49</f>
        <v>0.9</v>
      </c>
      <c r="S97" s="4"/>
    </row>
    <row r="98" spans="1:19">
      <c r="A98" s="4">
        <v>2</v>
      </c>
      <c r="B98" s="53">
        <f>TxType!B2</f>
        <v>0.25</v>
      </c>
      <c r="C98" s="53">
        <f>TxType!B10</f>
        <v>0.25</v>
      </c>
      <c r="E98" s="4">
        <v>2</v>
      </c>
      <c r="F98" s="230">
        <f t="shared" ref="F98:F102" si="67">I50</f>
        <v>0.8</v>
      </c>
      <c r="S98" s="4"/>
    </row>
    <row r="99" spans="1:19">
      <c r="A99" s="4">
        <v>3</v>
      </c>
      <c r="B99" s="53">
        <f>TxType!B3</f>
        <v>0.25</v>
      </c>
      <c r="C99" s="53">
        <f>TxType!B11</f>
        <v>0.25</v>
      </c>
      <c r="E99" s="4">
        <v>3</v>
      </c>
      <c r="F99" s="230">
        <f t="shared" si="67"/>
        <v>0.6</v>
      </c>
      <c r="S99" s="4"/>
    </row>
    <row r="100" spans="1:19">
      <c r="A100" s="4">
        <v>4</v>
      </c>
      <c r="B100" s="53">
        <f>TxType!B4</f>
        <v>0.25</v>
      </c>
      <c r="C100" s="53">
        <f>TxType!B12</f>
        <v>0.25</v>
      </c>
      <c r="E100" s="4">
        <v>4</v>
      </c>
      <c r="F100" s="230">
        <f t="shared" si="67"/>
        <v>0.5</v>
      </c>
      <c r="S100" s="4"/>
    </row>
    <row r="101" spans="1:19">
      <c r="A101" s="4">
        <v>5</v>
      </c>
      <c r="B101" s="53">
        <f>TxType!B5</f>
        <v>0.15</v>
      </c>
      <c r="C101" s="53">
        <f>TxType!B13</f>
        <v>0.15</v>
      </c>
      <c r="E101" s="4">
        <v>5</v>
      </c>
      <c r="F101" s="230">
        <f t="shared" si="67"/>
        <v>0.5</v>
      </c>
      <c r="S101" s="4"/>
    </row>
    <row r="102" spans="1:19">
      <c r="A102" s="4">
        <v>6</v>
      </c>
      <c r="B102" s="53">
        <f>TxType!B6</f>
        <v>0.02</v>
      </c>
      <c r="C102" s="53">
        <f>TxType!B14</f>
        <v>0.02</v>
      </c>
      <c r="E102" s="4">
        <v>6</v>
      </c>
      <c r="F102" s="230">
        <f t="shared" si="67"/>
        <v>0.1</v>
      </c>
      <c r="S102" s="4"/>
    </row>
    <row r="103" spans="1:19">
      <c r="A103" s="4"/>
      <c r="B103" s="4"/>
      <c r="C103" s="4"/>
    </row>
    <row r="104" spans="1:19" ht="14.4" customHeight="1">
      <c r="A104" s="4"/>
      <c r="B104" s="4"/>
      <c r="C104" s="176"/>
      <c r="D104" s="176"/>
      <c r="E104" s="176"/>
    </row>
    <row r="105" spans="1:19" ht="14.4" customHeight="1">
      <c r="A105" s="4" t="s">
        <v>191</v>
      </c>
      <c r="B105" t="s">
        <v>179</v>
      </c>
      <c r="C105">
        <v>1</v>
      </c>
      <c r="D105">
        <v>2</v>
      </c>
      <c r="E105">
        <v>3</v>
      </c>
      <c r="F105">
        <v>4</v>
      </c>
      <c r="G105">
        <v>5</v>
      </c>
      <c r="H105">
        <v>6</v>
      </c>
      <c r="I105">
        <v>7</v>
      </c>
      <c r="J105">
        <v>8</v>
      </c>
      <c r="K105">
        <v>9</v>
      </c>
      <c r="L105">
        <v>10</v>
      </c>
      <c r="M105">
        <v>11</v>
      </c>
      <c r="N105">
        <v>12</v>
      </c>
      <c r="O105">
        <v>13</v>
      </c>
    </row>
    <row r="106" spans="1:19" ht="14.4" customHeight="1">
      <c r="A106" s="4">
        <v>1</v>
      </c>
      <c r="B106" s="54">
        <f>I49</f>
        <v>0.9</v>
      </c>
      <c r="C106" s="54">
        <f>MIN(1,C122+S122)</f>
        <v>0.90000000000000013</v>
      </c>
      <c r="D106" s="54">
        <f t="shared" ref="D106:O106" si="68">MIN(1,D122+T122)</f>
        <v>0.90000000000000013</v>
      </c>
      <c r="E106" s="54">
        <f t="shared" si="68"/>
        <v>0.90000000000000013</v>
      </c>
      <c r="F106" s="54">
        <f t="shared" si="68"/>
        <v>0.90000000000000013</v>
      </c>
      <c r="G106" s="54">
        <f t="shared" si="68"/>
        <v>0.90000000000000013</v>
      </c>
      <c r="H106" s="54">
        <f t="shared" si="68"/>
        <v>0.90000000000000013</v>
      </c>
      <c r="I106" s="54">
        <f t="shared" si="68"/>
        <v>0.90000000000000013</v>
      </c>
      <c r="J106" s="54">
        <f t="shared" si="68"/>
        <v>0.90000000000000013</v>
      </c>
      <c r="K106" s="54">
        <f t="shared" si="68"/>
        <v>0.90000000000000013</v>
      </c>
      <c r="L106" s="54">
        <f t="shared" si="68"/>
        <v>0.90000000000000013</v>
      </c>
      <c r="M106" s="54">
        <f t="shared" si="68"/>
        <v>0.90000000000000013</v>
      </c>
      <c r="N106" s="54">
        <f t="shared" si="68"/>
        <v>0.90000000000000013</v>
      </c>
      <c r="O106" s="54">
        <f t="shared" si="68"/>
        <v>0.90000000000000013</v>
      </c>
    </row>
    <row r="107" spans="1:19" ht="14.4" customHeight="1">
      <c r="A107" s="4">
        <v>2</v>
      </c>
      <c r="B107" s="54">
        <f t="shared" ref="B107:B111" si="69">I50</f>
        <v>0.8</v>
      </c>
      <c r="C107" s="54">
        <f t="shared" ref="C107:C111" si="70">MIN(1,C123+S123)</f>
        <v>0.8</v>
      </c>
      <c r="D107" s="54">
        <f t="shared" ref="D107:D111" si="71">MIN(1,D123+T123)</f>
        <v>0.8</v>
      </c>
      <c r="E107" s="54">
        <f t="shared" ref="E107:E111" si="72">MIN(1,E123+U123)</f>
        <v>0.8</v>
      </c>
      <c r="F107" s="54">
        <f t="shared" ref="F107:F111" si="73">MIN(1,F123+V123)</f>
        <v>0.8</v>
      </c>
      <c r="G107" s="54">
        <f t="shared" ref="G107:G111" si="74">MIN(1,G123+W123)</f>
        <v>0.8</v>
      </c>
      <c r="H107" s="54">
        <f t="shared" ref="H107:H111" si="75">MIN(1,H123+X123)</f>
        <v>0.8</v>
      </c>
      <c r="I107" s="54">
        <f t="shared" ref="I107:I111" si="76">MIN(1,I123+Y123)</f>
        <v>0.8</v>
      </c>
      <c r="J107" s="54">
        <f t="shared" ref="J107:J111" si="77">MIN(1,J123+Z123)</f>
        <v>0.8</v>
      </c>
      <c r="K107" s="54">
        <f t="shared" ref="K107:K111" si="78">MIN(1,K123+AA123)</f>
        <v>0.8</v>
      </c>
      <c r="L107" s="54">
        <f t="shared" ref="L107:L111" si="79">MIN(1,L123+AB123)</f>
        <v>0.8</v>
      </c>
      <c r="M107" s="54">
        <f t="shared" ref="M107:M111" si="80">MIN(1,M123+AC123)</f>
        <v>0.8</v>
      </c>
      <c r="N107" s="54">
        <f t="shared" ref="N107:N111" si="81">MIN(1,N123+AD123)</f>
        <v>0.8</v>
      </c>
      <c r="O107" s="54">
        <f t="shared" ref="O107:O111" si="82">MIN(1,O123+AE123)</f>
        <v>0.8</v>
      </c>
    </row>
    <row r="108" spans="1:19" ht="14.4" customHeight="1">
      <c r="A108" s="4">
        <v>3</v>
      </c>
      <c r="B108" s="54">
        <f t="shared" si="69"/>
        <v>0.6</v>
      </c>
      <c r="C108" s="54">
        <f t="shared" si="70"/>
        <v>0.6</v>
      </c>
      <c r="D108" s="54">
        <f t="shared" si="71"/>
        <v>0.6</v>
      </c>
      <c r="E108" s="54">
        <f t="shared" si="72"/>
        <v>0.6</v>
      </c>
      <c r="F108" s="54">
        <f t="shared" si="73"/>
        <v>0.6</v>
      </c>
      <c r="G108" s="54">
        <f t="shared" si="74"/>
        <v>0.6</v>
      </c>
      <c r="H108" s="54">
        <f t="shared" si="75"/>
        <v>0.6</v>
      </c>
      <c r="I108" s="54">
        <f t="shared" si="76"/>
        <v>0.6</v>
      </c>
      <c r="J108" s="54">
        <f t="shared" si="77"/>
        <v>0.6</v>
      </c>
      <c r="K108" s="54">
        <f t="shared" si="78"/>
        <v>0.6</v>
      </c>
      <c r="L108" s="54">
        <f t="shared" si="79"/>
        <v>0.6</v>
      </c>
      <c r="M108" s="54">
        <f t="shared" si="80"/>
        <v>0.6</v>
      </c>
      <c r="N108" s="54">
        <f t="shared" si="81"/>
        <v>0.6</v>
      </c>
      <c r="O108" s="54">
        <f t="shared" si="82"/>
        <v>0.6</v>
      </c>
      <c r="Q108" s="177" t="s">
        <v>192</v>
      </c>
      <c r="R108" s="177"/>
    </row>
    <row r="109" spans="1:19" ht="14.4" customHeight="1">
      <c r="A109" s="4">
        <v>4</v>
      </c>
      <c r="B109" s="54">
        <f t="shared" si="69"/>
        <v>0.5</v>
      </c>
      <c r="C109" s="54">
        <f t="shared" si="70"/>
        <v>0.5</v>
      </c>
      <c r="D109" s="54">
        <f t="shared" si="71"/>
        <v>0.5</v>
      </c>
      <c r="E109" s="54">
        <f t="shared" si="72"/>
        <v>0.5</v>
      </c>
      <c r="F109" s="54">
        <f t="shared" si="73"/>
        <v>0.5</v>
      </c>
      <c r="G109" s="54">
        <f t="shared" si="74"/>
        <v>0.5</v>
      </c>
      <c r="H109" s="54">
        <f t="shared" si="75"/>
        <v>0.5</v>
      </c>
      <c r="I109" s="54">
        <f t="shared" si="76"/>
        <v>0.5</v>
      </c>
      <c r="J109" s="54">
        <f t="shared" si="77"/>
        <v>0.5</v>
      </c>
      <c r="K109" s="54">
        <f t="shared" si="78"/>
        <v>0.5</v>
      </c>
      <c r="L109" s="54">
        <f t="shared" si="79"/>
        <v>0.5</v>
      </c>
      <c r="M109" s="54">
        <f t="shared" si="80"/>
        <v>0.5</v>
      </c>
      <c r="N109" s="54">
        <f t="shared" si="81"/>
        <v>0.5</v>
      </c>
      <c r="O109" s="54">
        <f t="shared" si="82"/>
        <v>0.5</v>
      </c>
      <c r="Q109">
        <v>1</v>
      </c>
      <c r="R109">
        <v>6.4097826049428666E-2</v>
      </c>
    </row>
    <row r="110" spans="1:19" ht="14.4" customHeight="1">
      <c r="A110" s="4">
        <v>5</v>
      </c>
      <c r="B110" s="54">
        <f t="shared" si="69"/>
        <v>0.5</v>
      </c>
      <c r="C110" s="54">
        <f t="shared" si="70"/>
        <v>0.5</v>
      </c>
      <c r="D110" s="54">
        <f t="shared" si="71"/>
        <v>0.5</v>
      </c>
      <c r="E110" s="54">
        <f t="shared" si="72"/>
        <v>0.5</v>
      </c>
      <c r="F110" s="54">
        <f t="shared" si="73"/>
        <v>0.5</v>
      </c>
      <c r="G110" s="54">
        <f t="shared" si="74"/>
        <v>0.5</v>
      </c>
      <c r="H110" s="54">
        <f t="shared" si="75"/>
        <v>0.5</v>
      </c>
      <c r="I110" s="54">
        <f t="shared" si="76"/>
        <v>0.5</v>
      </c>
      <c r="J110" s="54">
        <f t="shared" si="77"/>
        <v>0.5</v>
      </c>
      <c r="K110" s="54">
        <f t="shared" si="78"/>
        <v>0.5</v>
      </c>
      <c r="L110" s="54">
        <f t="shared" si="79"/>
        <v>0.5</v>
      </c>
      <c r="M110" s="54">
        <f t="shared" si="80"/>
        <v>0.5</v>
      </c>
      <c r="N110" s="54">
        <f t="shared" si="81"/>
        <v>0.5</v>
      </c>
      <c r="O110" s="54">
        <f t="shared" si="82"/>
        <v>0.5</v>
      </c>
      <c r="Q110">
        <v>2</v>
      </c>
      <c r="R110">
        <v>7.813654172138465E-2</v>
      </c>
    </row>
    <row r="111" spans="1:19" ht="14.4" customHeight="1">
      <c r="A111" s="4">
        <v>6</v>
      </c>
      <c r="B111" s="54">
        <f t="shared" si="69"/>
        <v>0.1</v>
      </c>
      <c r="C111" s="54">
        <f t="shared" si="70"/>
        <v>0.1</v>
      </c>
      <c r="D111" s="54">
        <f t="shared" si="71"/>
        <v>0.1</v>
      </c>
      <c r="E111" s="54">
        <f t="shared" si="72"/>
        <v>0.1</v>
      </c>
      <c r="F111" s="54">
        <f t="shared" si="73"/>
        <v>0.1</v>
      </c>
      <c r="G111" s="54">
        <f t="shared" si="74"/>
        <v>0.1</v>
      </c>
      <c r="H111" s="54">
        <f t="shared" si="75"/>
        <v>0.1</v>
      </c>
      <c r="I111" s="54">
        <f t="shared" si="76"/>
        <v>0.1</v>
      </c>
      <c r="J111" s="54">
        <f t="shared" si="77"/>
        <v>0.1</v>
      </c>
      <c r="K111" s="54">
        <f t="shared" si="78"/>
        <v>0.1</v>
      </c>
      <c r="L111" s="54">
        <f t="shared" si="79"/>
        <v>0.1</v>
      </c>
      <c r="M111" s="54">
        <f t="shared" si="80"/>
        <v>0.1</v>
      </c>
      <c r="N111" s="54">
        <f t="shared" si="81"/>
        <v>0.1</v>
      </c>
      <c r="O111" s="54">
        <f t="shared" si="82"/>
        <v>0.1</v>
      </c>
      <c r="Q111">
        <v>3</v>
      </c>
      <c r="R111">
        <v>0.1302275777131939</v>
      </c>
    </row>
    <row r="112" spans="1:19" ht="14.4" customHeight="1">
      <c r="A112" s="4"/>
      <c r="B112" s="60"/>
      <c r="C112" s="232"/>
      <c r="D112" s="232"/>
      <c r="E112" s="60"/>
      <c r="F112" s="60"/>
      <c r="G112" s="60"/>
      <c r="H112" s="60"/>
      <c r="I112" s="60"/>
      <c r="J112" s="60"/>
      <c r="K112" s="60"/>
      <c r="L112" s="60"/>
      <c r="M112" s="60"/>
      <c r="N112" s="60"/>
      <c r="O112" s="60"/>
      <c r="Q112">
        <v>4</v>
      </c>
      <c r="R112">
        <v>0.17160485012162385</v>
      </c>
    </row>
    <row r="113" spans="1:31" ht="14.4" customHeight="1">
      <c r="A113" s="4" t="s">
        <v>193</v>
      </c>
      <c r="B113" s="60" t="s">
        <v>179</v>
      </c>
      <c r="C113" s="233">
        <v>1</v>
      </c>
      <c r="D113" s="233">
        <v>2</v>
      </c>
      <c r="E113" s="233">
        <v>3</v>
      </c>
      <c r="F113" s="233">
        <v>4</v>
      </c>
      <c r="G113" s="233">
        <v>5</v>
      </c>
      <c r="H113" s="233">
        <v>6</v>
      </c>
      <c r="I113" s="233">
        <v>7</v>
      </c>
      <c r="J113" s="233">
        <v>8</v>
      </c>
      <c r="K113" s="233">
        <v>9</v>
      </c>
      <c r="L113" s="233">
        <v>10</v>
      </c>
      <c r="M113" s="233">
        <v>11</v>
      </c>
      <c r="N113" s="233">
        <v>12</v>
      </c>
      <c r="O113" s="233">
        <v>13</v>
      </c>
      <c r="Q113">
        <v>5</v>
      </c>
      <c r="R113">
        <v>0.23341214199084681</v>
      </c>
    </row>
    <row r="114" spans="1:31" ht="14.4" customHeight="1">
      <c r="A114" s="4">
        <v>1</v>
      </c>
      <c r="B114" s="55">
        <f>B97</f>
        <v>0.4</v>
      </c>
      <c r="C114" s="55">
        <f>C122/C106</f>
        <v>0.39999999999999997</v>
      </c>
      <c r="D114" s="55">
        <f t="shared" ref="D114:O114" si="83">D122/D106</f>
        <v>0.39999999999999997</v>
      </c>
      <c r="E114" s="55">
        <f t="shared" si="83"/>
        <v>0.39999999999999997</v>
      </c>
      <c r="F114" s="55">
        <f t="shared" si="83"/>
        <v>0.39999999999999997</v>
      </c>
      <c r="G114" s="55">
        <f t="shared" si="83"/>
        <v>0.39999999999999997</v>
      </c>
      <c r="H114" s="55">
        <f t="shared" si="83"/>
        <v>0.39999999999999997</v>
      </c>
      <c r="I114" s="55">
        <f t="shared" si="83"/>
        <v>0.39999999999999997</v>
      </c>
      <c r="J114" s="55">
        <f t="shared" si="83"/>
        <v>0.39999999999999997</v>
      </c>
      <c r="K114" s="55">
        <f t="shared" si="83"/>
        <v>0.39999999999999997</v>
      </c>
      <c r="L114" s="55">
        <f t="shared" si="83"/>
        <v>0.39999999999999997</v>
      </c>
      <c r="M114" s="55">
        <f t="shared" si="83"/>
        <v>0.39999999999999997</v>
      </c>
      <c r="N114" s="55">
        <f t="shared" si="83"/>
        <v>0.39999999999999997</v>
      </c>
      <c r="O114" s="55">
        <f t="shared" si="83"/>
        <v>0.39999999999999997</v>
      </c>
      <c r="Q114">
        <v>6</v>
      </c>
      <c r="R114">
        <v>0.32252106240352219</v>
      </c>
    </row>
    <row r="115" spans="1:31" ht="14.4" customHeight="1">
      <c r="A115" s="4">
        <v>2</v>
      </c>
      <c r="B115" s="55">
        <f t="shared" ref="B115:B119" si="84">B98</f>
        <v>0.25</v>
      </c>
      <c r="C115" s="55">
        <f t="shared" ref="C115:O115" si="85">C123/C107</f>
        <v>0.25</v>
      </c>
      <c r="D115" s="55">
        <f t="shared" si="85"/>
        <v>0.25</v>
      </c>
      <c r="E115" s="55">
        <f t="shared" si="85"/>
        <v>0.25</v>
      </c>
      <c r="F115" s="55">
        <f t="shared" si="85"/>
        <v>0.25</v>
      </c>
      <c r="G115" s="55">
        <f t="shared" si="85"/>
        <v>0.25</v>
      </c>
      <c r="H115" s="55">
        <f t="shared" si="85"/>
        <v>0.25</v>
      </c>
      <c r="I115" s="55">
        <f t="shared" si="85"/>
        <v>0.25</v>
      </c>
      <c r="J115" s="55">
        <f t="shared" si="85"/>
        <v>0.25</v>
      </c>
      <c r="K115" s="55">
        <f t="shared" si="85"/>
        <v>0.25</v>
      </c>
      <c r="L115" s="55">
        <f t="shared" si="85"/>
        <v>0.25</v>
      </c>
      <c r="M115" s="55">
        <f t="shared" si="85"/>
        <v>0.25</v>
      </c>
      <c r="N115" s="55">
        <f t="shared" si="85"/>
        <v>0.25</v>
      </c>
      <c r="O115" s="55">
        <f t="shared" si="85"/>
        <v>0.25</v>
      </c>
    </row>
    <row r="116" spans="1:31" ht="14.4" customHeight="1">
      <c r="A116" s="4">
        <v>3</v>
      </c>
      <c r="B116" s="55">
        <f t="shared" si="84"/>
        <v>0.25</v>
      </c>
      <c r="C116" s="55">
        <f t="shared" ref="C116:O116" si="86">C124/C108</f>
        <v>0.25</v>
      </c>
      <c r="D116" s="55">
        <f t="shared" si="86"/>
        <v>0.25</v>
      </c>
      <c r="E116" s="55">
        <f t="shared" si="86"/>
        <v>0.25</v>
      </c>
      <c r="F116" s="55">
        <f t="shared" si="86"/>
        <v>0.25</v>
      </c>
      <c r="G116" s="55">
        <f t="shared" si="86"/>
        <v>0.25</v>
      </c>
      <c r="H116" s="55">
        <f t="shared" si="86"/>
        <v>0.25</v>
      </c>
      <c r="I116" s="55">
        <f t="shared" si="86"/>
        <v>0.25</v>
      </c>
      <c r="J116" s="55">
        <f t="shared" si="86"/>
        <v>0.25</v>
      </c>
      <c r="K116" s="55">
        <f t="shared" si="86"/>
        <v>0.25</v>
      </c>
      <c r="L116" s="55">
        <f t="shared" si="86"/>
        <v>0.25</v>
      </c>
      <c r="M116" s="55">
        <f t="shared" si="86"/>
        <v>0.25</v>
      </c>
      <c r="N116" s="55">
        <f t="shared" si="86"/>
        <v>0.25</v>
      </c>
      <c r="O116" s="55">
        <f t="shared" si="86"/>
        <v>0.25</v>
      </c>
    </row>
    <row r="117" spans="1:31" ht="14.4" customHeight="1">
      <c r="A117" s="4">
        <v>4</v>
      </c>
      <c r="B117" s="55">
        <f t="shared" si="84"/>
        <v>0.25</v>
      </c>
      <c r="C117" s="55">
        <f t="shared" ref="C117:O117" si="87">C125/C109</f>
        <v>0.25</v>
      </c>
      <c r="D117" s="55">
        <f t="shared" si="87"/>
        <v>0.25</v>
      </c>
      <c r="E117" s="55">
        <f t="shared" si="87"/>
        <v>0.25</v>
      </c>
      <c r="F117" s="55">
        <f t="shared" si="87"/>
        <v>0.25</v>
      </c>
      <c r="G117" s="55">
        <f t="shared" si="87"/>
        <v>0.25</v>
      </c>
      <c r="H117" s="55">
        <f t="shared" si="87"/>
        <v>0.25</v>
      </c>
      <c r="I117" s="55">
        <f t="shared" si="87"/>
        <v>0.25</v>
      </c>
      <c r="J117" s="55">
        <f t="shared" si="87"/>
        <v>0.25</v>
      </c>
      <c r="K117" s="55">
        <f t="shared" si="87"/>
        <v>0.25</v>
      </c>
      <c r="L117" s="55">
        <f t="shared" si="87"/>
        <v>0.25</v>
      </c>
      <c r="M117" s="55">
        <f t="shared" si="87"/>
        <v>0.25</v>
      </c>
      <c r="N117" s="55">
        <f t="shared" si="87"/>
        <v>0.25</v>
      </c>
      <c r="O117" s="55">
        <f t="shared" si="87"/>
        <v>0.25</v>
      </c>
    </row>
    <row r="118" spans="1:31" ht="14.4" customHeight="1">
      <c r="A118" s="4">
        <v>5</v>
      </c>
      <c r="B118" s="55">
        <f t="shared" si="84"/>
        <v>0.15</v>
      </c>
      <c r="C118" s="55">
        <f t="shared" ref="C118:O118" si="88">C126/C110</f>
        <v>0.15</v>
      </c>
      <c r="D118" s="55">
        <f t="shared" si="88"/>
        <v>0.15</v>
      </c>
      <c r="E118" s="55">
        <f t="shared" si="88"/>
        <v>0.15</v>
      </c>
      <c r="F118" s="55">
        <f t="shared" si="88"/>
        <v>0.15</v>
      </c>
      <c r="G118" s="55">
        <f t="shared" si="88"/>
        <v>0.15</v>
      </c>
      <c r="H118" s="55">
        <f t="shared" si="88"/>
        <v>0.15</v>
      </c>
      <c r="I118" s="55">
        <f t="shared" si="88"/>
        <v>0.15</v>
      </c>
      <c r="J118" s="55">
        <f t="shared" si="88"/>
        <v>0.15</v>
      </c>
      <c r="K118" s="55">
        <f t="shared" si="88"/>
        <v>0.15</v>
      </c>
      <c r="L118" s="55">
        <f t="shared" si="88"/>
        <v>0.15</v>
      </c>
      <c r="M118" s="55">
        <f t="shared" si="88"/>
        <v>0.15</v>
      </c>
      <c r="N118" s="55">
        <f t="shared" si="88"/>
        <v>0.15</v>
      </c>
      <c r="O118" s="55">
        <f t="shared" si="88"/>
        <v>0.15</v>
      </c>
    </row>
    <row r="119" spans="1:31" ht="14.4" customHeight="1">
      <c r="A119" s="4">
        <v>6</v>
      </c>
      <c r="B119" s="55">
        <f t="shared" si="84"/>
        <v>0.02</v>
      </c>
      <c r="C119" s="55">
        <f>C127/C111</f>
        <v>0.02</v>
      </c>
      <c r="D119" s="55">
        <f t="shared" ref="C119:O119" si="89">D127/D111</f>
        <v>0.02</v>
      </c>
      <c r="E119" s="55">
        <f t="shared" si="89"/>
        <v>0.02</v>
      </c>
      <c r="F119" s="55">
        <f t="shared" si="89"/>
        <v>0.02</v>
      </c>
      <c r="G119" s="55">
        <f t="shared" si="89"/>
        <v>0.02</v>
      </c>
      <c r="H119" s="55">
        <f t="shared" si="89"/>
        <v>0.02</v>
      </c>
      <c r="I119" s="55">
        <f t="shared" si="89"/>
        <v>0.02</v>
      </c>
      <c r="J119" s="55">
        <f t="shared" si="89"/>
        <v>0.02</v>
      </c>
      <c r="K119" s="55">
        <f t="shared" si="89"/>
        <v>0.02</v>
      </c>
      <c r="L119" s="55">
        <f t="shared" si="89"/>
        <v>0.02</v>
      </c>
      <c r="M119" s="55">
        <f t="shared" si="89"/>
        <v>0.02</v>
      </c>
      <c r="N119" s="55">
        <f t="shared" si="89"/>
        <v>0.02</v>
      </c>
      <c r="O119" s="55">
        <f t="shared" si="89"/>
        <v>0.02</v>
      </c>
    </row>
    <row r="120" spans="1:31" ht="14.4" customHeight="1">
      <c r="B120" s="231"/>
      <c r="C120" s="231"/>
      <c r="D120" s="231"/>
      <c r="E120" s="231"/>
      <c r="F120" s="231"/>
      <c r="G120" s="231"/>
      <c r="H120" s="231"/>
      <c r="I120" s="231"/>
    </row>
    <row r="121" spans="1:31">
      <c r="A121" s="4" t="s">
        <v>194</v>
      </c>
      <c r="B121" s="60" t="s">
        <v>179</v>
      </c>
      <c r="C121" s="233">
        <v>1</v>
      </c>
      <c r="D121" s="233">
        <v>2</v>
      </c>
      <c r="E121" s="233">
        <v>3</v>
      </c>
      <c r="F121" s="233">
        <v>4</v>
      </c>
      <c r="G121" s="233">
        <v>5</v>
      </c>
      <c r="H121" s="233">
        <v>6</v>
      </c>
      <c r="I121" s="233">
        <v>7</v>
      </c>
      <c r="J121" s="233">
        <v>8</v>
      </c>
      <c r="K121" s="233">
        <v>9</v>
      </c>
      <c r="L121" s="233">
        <v>10</v>
      </c>
      <c r="M121" s="233">
        <v>11</v>
      </c>
      <c r="N121" s="233">
        <v>12</v>
      </c>
      <c r="O121" s="233">
        <v>13</v>
      </c>
      <c r="Q121" s="4" t="s">
        <v>195</v>
      </c>
      <c r="R121" s="60" t="s">
        <v>179</v>
      </c>
      <c r="S121" s="233">
        <v>1</v>
      </c>
      <c r="T121" s="233">
        <v>2</v>
      </c>
      <c r="U121" s="233">
        <v>3</v>
      </c>
      <c r="V121" s="233">
        <v>4</v>
      </c>
      <c r="W121" s="233">
        <v>5</v>
      </c>
      <c r="X121" s="233">
        <v>6</v>
      </c>
      <c r="Y121" s="233">
        <v>7</v>
      </c>
      <c r="Z121" s="233">
        <v>8</v>
      </c>
      <c r="AA121" s="233">
        <v>9</v>
      </c>
      <c r="AB121" s="233">
        <v>10</v>
      </c>
      <c r="AC121" s="233">
        <v>11</v>
      </c>
      <c r="AD121" s="233">
        <v>12</v>
      </c>
      <c r="AE121" s="233">
        <v>13</v>
      </c>
    </row>
    <row r="122" spans="1:31">
      <c r="A122" s="4">
        <v>1</v>
      </c>
      <c r="B122" s="60">
        <f>B106*B114</f>
        <v>0.36000000000000004</v>
      </c>
      <c r="C122" s="60">
        <f>IF('Scenario Inputs'!I76="",simPy_sheet!$B$122,('Scenario Inputs'!I76-simPy_sheet!$B$128)+simPy_sheet!$B$122)</f>
        <v>0.36000000000000004</v>
      </c>
      <c r="D122" s="60">
        <f>IF('Scenario Inputs'!J76="",simPy_sheet!$B$122,('Scenario Inputs'!J76-simPy_sheet!$B$128)+simPy_sheet!$B$122)</f>
        <v>0.36000000000000004</v>
      </c>
      <c r="E122" s="60">
        <f>IF('Scenario Inputs'!K76="",simPy_sheet!$B$122,('Scenario Inputs'!K76-simPy_sheet!$B$128)+simPy_sheet!$B$122)</f>
        <v>0.36000000000000004</v>
      </c>
      <c r="F122" s="60">
        <f>IF('Scenario Inputs'!L76="",simPy_sheet!$B$122,('Scenario Inputs'!L76-simPy_sheet!$B$128)+simPy_sheet!$B$122)</f>
        <v>0.36000000000000004</v>
      </c>
      <c r="G122" s="60">
        <f>IF('Scenario Inputs'!M76="",simPy_sheet!$B$122,('Scenario Inputs'!M76-simPy_sheet!$B$128)+simPy_sheet!$B$122)</f>
        <v>0.36000000000000004</v>
      </c>
      <c r="H122" s="60">
        <f>IF('Scenario Inputs'!N76="",simPy_sheet!$B$122,('Scenario Inputs'!N76-simPy_sheet!$B$128)+simPy_sheet!$B$122)</f>
        <v>0.36000000000000004</v>
      </c>
      <c r="I122" s="60">
        <f>IF('Scenario Inputs'!O76="",simPy_sheet!$B$122,('Scenario Inputs'!O76-simPy_sheet!$B$128)+simPy_sheet!$B$122)</f>
        <v>0.36000000000000004</v>
      </c>
      <c r="J122" s="60">
        <f>IF('Scenario Inputs'!P76="",simPy_sheet!$B$122,('Scenario Inputs'!P76-simPy_sheet!$B$128)+simPy_sheet!$B$122)</f>
        <v>0.36000000000000004</v>
      </c>
      <c r="K122" s="60">
        <f>IF('Scenario Inputs'!Q76="",simPy_sheet!$B$122,('Scenario Inputs'!Q76-simPy_sheet!$B$128)+simPy_sheet!$B$122)</f>
        <v>0.36000000000000004</v>
      </c>
      <c r="L122" s="60">
        <f>IF('Scenario Inputs'!R76="",simPy_sheet!$B$122,('Scenario Inputs'!R76-simPy_sheet!$B$128)+simPy_sheet!$B$122)</f>
        <v>0.36000000000000004</v>
      </c>
      <c r="M122" s="60">
        <f>IF('Scenario Inputs'!S76="",simPy_sheet!$B$122,('Scenario Inputs'!S76-simPy_sheet!$B$128)+simPy_sheet!$B$122)</f>
        <v>0.36000000000000004</v>
      </c>
      <c r="N122" s="60">
        <f>IF('Scenario Inputs'!T76="",simPy_sheet!$B$122,('Scenario Inputs'!T76-simPy_sheet!$B$128)+simPy_sheet!$B$122)</f>
        <v>0.36000000000000004</v>
      </c>
      <c r="O122" s="60">
        <f>IF('Scenario Inputs'!U76="",simPy_sheet!$B$122,('Scenario Inputs'!U76-simPy_sheet!$B$128)+simPy_sheet!$B$122)</f>
        <v>0.36000000000000004</v>
      </c>
      <c r="Q122" s="4">
        <v>1</v>
      </c>
      <c r="R122" s="3">
        <f>B106*(1-B114)</f>
        <v>0.54</v>
      </c>
      <c r="S122" s="3">
        <f>IF('Scenario Inputs'!I$79="",simPy_sheet!$R$122,('Scenario Inputs'!I$79-simPy_sheet!$R$128)+simPy_sheet!$R$122)</f>
        <v>0.54</v>
      </c>
      <c r="T122" s="3">
        <f>IF('Scenario Inputs'!J$79="",simPy_sheet!$R$122,('Scenario Inputs'!J$79-simPy_sheet!$R$128)+simPy_sheet!$R$122)</f>
        <v>0.54</v>
      </c>
      <c r="U122" s="3">
        <f>IF('Scenario Inputs'!K$79="",simPy_sheet!$R$122,('Scenario Inputs'!K$79-simPy_sheet!$R$128)+simPy_sheet!$R$122)</f>
        <v>0.54</v>
      </c>
      <c r="V122" s="3">
        <f>IF('Scenario Inputs'!L$79="",simPy_sheet!$R$122,('Scenario Inputs'!L$79-simPy_sheet!$R$128)+simPy_sheet!$R$122)</f>
        <v>0.54</v>
      </c>
      <c r="W122" s="3">
        <f>IF('Scenario Inputs'!M$79="",simPy_sheet!$R$122,('Scenario Inputs'!M$79-simPy_sheet!$R$128)+simPy_sheet!$R$122)</f>
        <v>0.54</v>
      </c>
      <c r="X122" s="3">
        <f>IF('Scenario Inputs'!N$79="",simPy_sheet!$R$122,('Scenario Inputs'!N$79-simPy_sheet!$R$128)+simPy_sheet!$R$122)</f>
        <v>0.54</v>
      </c>
      <c r="Y122" s="3">
        <f>IF('Scenario Inputs'!O$79="",simPy_sheet!$R$122,('Scenario Inputs'!O$79-simPy_sheet!$R$128)+simPy_sheet!$R$122)</f>
        <v>0.54</v>
      </c>
      <c r="Z122" s="3">
        <f>IF('Scenario Inputs'!P$79="",simPy_sheet!$R$122,('Scenario Inputs'!P$79-simPy_sheet!$R$128)+simPy_sheet!$R$122)</f>
        <v>0.54</v>
      </c>
      <c r="AA122" s="3">
        <f>IF('Scenario Inputs'!Q$79="",simPy_sheet!$R$122,('Scenario Inputs'!Q$79-simPy_sheet!$R$128)+simPy_sheet!$R$122)</f>
        <v>0.54</v>
      </c>
      <c r="AB122" s="3">
        <f>IF('Scenario Inputs'!R$79="",simPy_sheet!$R$122,('Scenario Inputs'!R$79-simPy_sheet!$R$128)+simPy_sheet!$R$122)</f>
        <v>0.54</v>
      </c>
      <c r="AC122" s="3">
        <f>IF('Scenario Inputs'!S$79="",simPy_sheet!$R$122,('Scenario Inputs'!S$79-simPy_sheet!$R$128)+simPy_sheet!$R$122)</f>
        <v>0.54</v>
      </c>
      <c r="AD122" s="3">
        <f>IF('Scenario Inputs'!T$79="",simPy_sheet!$R$122,('Scenario Inputs'!T$79-simPy_sheet!$R$128)+simPy_sheet!$R$122)</f>
        <v>0.54</v>
      </c>
      <c r="AE122" s="3">
        <f>IF('Scenario Inputs'!U$79="",simPy_sheet!$R$122,('Scenario Inputs'!U$79-simPy_sheet!$R$128)+simPy_sheet!$R$122)</f>
        <v>0.54</v>
      </c>
    </row>
    <row r="123" spans="1:31">
      <c r="A123" s="4">
        <v>2</v>
      </c>
      <c r="B123" s="60">
        <f>B107*B115</f>
        <v>0.2</v>
      </c>
      <c r="C123" s="60">
        <f>IF('Scenario Inputs'!I76="",simPy_sheet!$B123,('Scenario Inputs'!I76-simPy_sheet!$B128)+simPy_sheet!$B123)</f>
        <v>0.2</v>
      </c>
      <c r="D123" s="60">
        <f>IF('Scenario Inputs'!J76="",simPy_sheet!$B123,('Scenario Inputs'!J76-simPy_sheet!$B128)+simPy_sheet!$B123)</f>
        <v>0.2</v>
      </c>
      <c r="E123" s="60">
        <f>IF('Scenario Inputs'!K76="",simPy_sheet!$B123,('Scenario Inputs'!K76-simPy_sheet!$B128)+simPy_sheet!$B123)</f>
        <v>0.2</v>
      </c>
      <c r="F123" s="60">
        <f>IF('Scenario Inputs'!L76="",simPy_sheet!$B123,('Scenario Inputs'!L76-simPy_sheet!$B128)+simPy_sheet!$B123)</f>
        <v>0.2</v>
      </c>
      <c r="G123" s="60">
        <f>IF('Scenario Inputs'!M76="",simPy_sheet!$B123,('Scenario Inputs'!M76-simPy_sheet!$B128)+simPy_sheet!$B123)</f>
        <v>0.2</v>
      </c>
      <c r="H123" s="60">
        <f>IF('Scenario Inputs'!N76="",simPy_sheet!$B123,('Scenario Inputs'!N76-simPy_sheet!$B128)+simPy_sheet!$B123)</f>
        <v>0.2</v>
      </c>
      <c r="I123" s="60">
        <f>IF('Scenario Inputs'!O76="",simPy_sheet!$B123,('Scenario Inputs'!O76-simPy_sheet!$B128)+simPy_sheet!$B123)</f>
        <v>0.2</v>
      </c>
      <c r="J123" s="60">
        <f>IF('Scenario Inputs'!P76="",simPy_sheet!$B123,('Scenario Inputs'!P76-simPy_sheet!$B128)+simPy_sheet!$B123)</f>
        <v>0.2</v>
      </c>
      <c r="K123" s="60">
        <f>IF('Scenario Inputs'!Q76="",simPy_sheet!$B123,('Scenario Inputs'!Q76-simPy_sheet!$B128)+simPy_sheet!$B123)</f>
        <v>0.2</v>
      </c>
      <c r="L123" s="60">
        <f>IF('Scenario Inputs'!R76="",simPy_sheet!$B123,('Scenario Inputs'!R76-simPy_sheet!$B128)+simPy_sheet!$B123)</f>
        <v>0.2</v>
      </c>
      <c r="M123" s="60">
        <f>IF('Scenario Inputs'!S76="",simPy_sheet!$B123,('Scenario Inputs'!S76-simPy_sheet!$B128)+simPy_sheet!$B123)</f>
        <v>0.2</v>
      </c>
      <c r="N123" s="60">
        <f>IF('Scenario Inputs'!T76="",simPy_sheet!$B123,('Scenario Inputs'!T76-simPy_sheet!$B128)+simPy_sheet!$B123)</f>
        <v>0.2</v>
      </c>
      <c r="O123" s="60">
        <f>IF('Scenario Inputs'!U76="",simPy_sheet!$B123,('Scenario Inputs'!U76-simPy_sheet!$B128)+simPy_sheet!$B123)</f>
        <v>0.2</v>
      </c>
      <c r="Q123" s="4">
        <v>2</v>
      </c>
      <c r="R123" s="3">
        <f t="shared" ref="R123:R127" si="90">B107*(1-B115)</f>
        <v>0.60000000000000009</v>
      </c>
      <c r="S123" s="3">
        <f>IF('Scenario Inputs'!I$79="",simPy_sheet!$R$123,('Scenario Inputs'!I$79-simPy_sheet!$R$128)+simPy_sheet!$R$123)</f>
        <v>0.60000000000000009</v>
      </c>
      <c r="T123" s="3">
        <f>IF('Scenario Inputs'!J$79="",simPy_sheet!$R$123,('Scenario Inputs'!J$79-simPy_sheet!$R$128)+simPy_sheet!$R$123)</f>
        <v>0.60000000000000009</v>
      </c>
      <c r="U123" s="3">
        <f>IF('Scenario Inputs'!K$79="",simPy_sheet!$R$123,('Scenario Inputs'!K$79-simPy_sheet!$R$128)+simPy_sheet!$R$123)</f>
        <v>0.60000000000000009</v>
      </c>
      <c r="V123" s="3">
        <f>IF('Scenario Inputs'!L$79="",simPy_sheet!$R$123,('Scenario Inputs'!L$79-simPy_sheet!$R$128)+simPy_sheet!$R$123)</f>
        <v>0.60000000000000009</v>
      </c>
      <c r="W123" s="3">
        <f>IF('Scenario Inputs'!M$79="",simPy_sheet!$R$123,('Scenario Inputs'!M$79-simPy_sheet!$R$128)+simPy_sheet!$R$123)</f>
        <v>0.60000000000000009</v>
      </c>
      <c r="X123" s="3">
        <f>IF('Scenario Inputs'!N$79="",simPy_sheet!$R$123,('Scenario Inputs'!N$79-simPy_sheet!$R$128)+simPy_sheet!$R$123)</f>
        <v>0.60000000000000009</v>
      </c>
      <c r="Y123" s="3">
        <f>IF('Scenario Inputs'!O$79="",simPy_sheet!$R$123,('Scenario Inputs'!O$79-simPy_sheet!$R$128)+simPy_sheet!$R$123)</f>
        <v>0.60000000000000009</v>
      </c>
      <c r="Z123" s="3">
        <f>IF('Scenario Inputs'!P$79="",simPy_sheet!$R$123,('Scenario Inputs'!P$79-simPy_sheet!$R$128)+simPy_sheet!$R$123)</f>
        <v>0.60000000000000009</v>
      </c>
      <c r="AA123" s="3">
        <f>IF('Scenario Inputs'!Q$79="",simPy_sheet!$R$123,('Scenario Inputs'!Q$79-simPy_sheet!$R$128)+simPy_sheet!$R$123)</f>
        <v>0.60000000000000009</v>
      </c>
      <c r="AB123" s="3">
        <f>IF('Scenario Inputs'!R$79="",simPy_sheet!$R$123,('Scenario Inputs'!R$79-simPy_sheet!$R$128)+simPy_sheet!$R$123)</f>
        <v>0.60000000000000009</v>
      </c>
      <c r="AC123" s="3">
        <f>IF('Scenario Inputs'!S$79="",simPy_sheet!$R$123,('Scenario Inputs'!S$79-simPy_sheet!$R$128)+simPy_sheet!$R$123)</f>
        <v>0.60000000000000009</v>
      </c>
      <c r="AD123" s="3">
        <f>IF('Scenario Inputs'!T$79="",simPy_sheet!$R$123,('Scenario Inputs'!T$79-simPy_sheet!$R$128)+simPy_sheet!$R$123)</f>
        <v>0.60000000000000009</v>
      </c>
      <c r="AE123" s="3">
        <f>IF('Scenario Inputs'!U$79="",simPy_sheet!$R$123,('Scenario Inputs'!U$79-simPy_sheet!$R$128)+simPy_sheet!$R$123)</f>
        <v>0.60000000000000009</v>
      </c>
    </row>
    <row r="124" spans="1:31">
      <c r="A124" s="4">
        <v>3</v>
      </c>
      <c r="B124" s="60">
        <f t="shared" ref="B124:B127" si="91">B108*B116</f>
        <v>0.15</v>
      </c>
      <c r="C124" s="60">
        <f>IF('Scenario Inputs'!I76="",simPy_sheet!$B124,('Scenario Inputs'!I76-simPy_sheet!$B128)+simPy_sheet!$B124)</f>
        <v>0.15</v>
      </c>
      <c r="D124" s="60">
        <f>IF('Scenario Inputs'!J76="",simPy_sheet!$B124,('Scenario Inputs'!J76-simPy_sheet!$B128)+simPy_sheet!$B124)</f>
        <v>0.15</v>
      </c>
      <c r="E124" s="60">
        <f>IF('Scenario Inputs'!K76="",simPy_sheet!$B124,('Scenario Inputs'!K76-simPy_sheet!$B128)+simPy_sheet!$B124)</f>
        <v>0.15</v>
      </c>
      <c r="F124" s="60">
        <f>IF('Scenario Inputs'!L76="",simPy_sheet!$B124,('Scenario Inputs'!L76-simPy_sheet!$B128)+simPy_sheet!$B124)</f>
        <v>0.15</v>
      </c>
      <c r="G124" s="60">
        <f>IF('Scenario Inputs'!M76="",simPy_sheet!$B124,('Scenario Inputs'!M76-simPy_sheet!$B128)+simPy_sheet!$B124)</f>
        <v>0.15</v>
      </c>
      <c r="H124" s="60">
        <f>IF('Scenario Inputs'!N76="",simPy_sheet!$B124,('Scenario Inputs'!N76-simPy_sheet!$B128)+simPy_sheet!$B124)</f>
        <v>0.15</v>
      </c>
      <c r="I124" s="60">
        <f>IF('Scenario Inputs'!O76="",simPy_sheet!$B124,('Scenario Inputs'!O76-simPy_sheet!$B128)+simPy_sheet!$B124)</f>
        <v>0.15</v>
      </c>
      <c r="J124" s="60">
        <f>IF('Scenario Inputs'!P76="",simPy_sheet!$B124,('Scenario Inputs'!P76-simPy_sheet!$B128)+simPy_sheet!$B124)</f>
        <v>0.15</v>
      </c>
      <c r="K124" s="60">
        <f>IF('Scenario Inputs'!Q76="",simPy_sheet!$B124,('Scenario Inputs'!Q76-simPy_sheet!$B128)+simPy_sheet!$B124)</f>
        <v>0.15</v>
      </c>
      <c r="L124" s="60">
        <f>IF('Scenario Inputs'!R76="",simPy_sheet!$B124,('Scenario Inputs'!R76-simPy_sheet!$B128)+simPy_sheet!$B124)</f>
        <v>0.15</v>
      </c>
      <c r="M124" s="60">
        <f>IF('Scenario Inputs'!S76="",simPy_sheet!$B124,('Scenario Inputs'!S76-simPy_sheet!$B128)+simPy_sheet!$B124)</f>
        <v>0.15</v>
      </c>
      <c r="N124" s="60">
        <f>IF('Scenario Inputs'!T76="",simPy_sheet!$B124,('Scenario Inputs'!T76-simPy_sheet!$B128)+simPy_sheet!$B124)</f>
        <v>0.15</v>
      </c>
      <c r="O124" s="60">
        <f>IF('Scenario Inputs'!U76="",simPy_sheet!$B124,('Scenario Inputs'!U76-simPy_sheet!$B128)+simPy_sheet!$B124)</f>
        <v>0.15</v>
      </c>
      <c r="Q124" s="4">
        <v>3</v>
      </c>
      <c r="R124" s="3">
        <f t="shared" si="90"/>
        <v>0.44999999999999996</v>
      </c>
      <c r="S124" s="3">
        <f>IF('Scenario Inputs'!I$79="",simPy_sheet!$R$124,('Scenario Inputs'!I$79-simPy_sheet!$R$128)+simPy_sheet!$R$124)</f>
        <v>0.44999999999999996</v>
      </c>
      <c r="T124" s="3">
        <f>IF('Scenario Inputs'!J$79="",simPy_sheet!$R$124,('Scenario Inputs'!J$79-simPy_sheet!$R$128)+simPy_sheet!$R$124)</f>
        <v>0.44999999999999996</v>
      </c>
      <c r="U124" s="3">
        <f>IF('Scenario Inputs'!K$79="",simPy_sheet!$R$124,('Scenario Inputs'!K$79-simPy_sheet!$R$128)+simPy_sheet!$R$124)</f>
        <v>0.44999999999999996</v>
      </c>
      <c r="V124" s="3">
        <f>IF('Scenario Inputs'!L$79="",simPy_sheet!$R$124,('Scenario Inputs'!L$79-simPy_sheet!$R$128)+simPy_sheet!$R$124)</f>
        <v>0.44999999999999996</v>
      </c>
      <c r="W124" s="3">
        <f>IF('Scenario Inputs'!M$79="",simPy_sheet!$R$124,('Scenario Inputs'!M$79-simPy_sheet!$R$128)+simPy_sheet!$R$124)</f>
        <v>0.44999999999999996</v>
      </c>
      <c r="X124" s="3">
        <f>IF('Scenario Inputs'!N$79="",simPy_sheet!$R$124,('Scenario Inputs'!N$79-simPy_sheet!$R$128)+simPy_sheet!$R$124)</f>
        <v>0.44999999999999996</v>
      </c>
      <c r="Y124" s="3">
        <f>IF('Scenario Inputs'!O$79="",simPy_sheet!$R$124,('Scenario Inputs'!O$79-simPy_sheet!$R$128)+simPy_sheet!$R$124)</f>
        <v>0.44999999999999996</v>
      </c>
      <c r="Z124" s="3">
        <f>IF('Scenario Inputs'!P$79="",simPy_sheet!$R$124,('Scenario Inputs'!P$79-simPy_sheet!$R$128)+simPy_sheet!$R$124)</f>
        <v>0.44999999999999996</v>
      </c>
      <c r="AA124" s="3">
        <f>IF('Scenario Inputs'!Q$79="",simPy_sheet!$R$124,('Scenario Inputs'!Q$79-simPy_sheet!$R$128)+simPy_sheet!$R$124)</f>
        <v>0.44999999999999996</v>
      </c>
      <c r="AB124" s="3">
        <f>IF('Scenario Inputs'!R$79="",simPy_sheet!$R$124,('Scenario Inputs'!R$79-simPy_sheet!$R$128)+simPy_sheet!$R$124)</f>
        <v>0.44999999999999996</v>
      </c>
      <c r="AC124" s="3">
        <f>IF('Scenario Inputs'!S$79="",simPy_sheet!$R$124,('Scenario Inputs'!S$79-simPy_sheet!$R$128)+simPy_sheet!$R$124)</f>
        <v>0.44999999999999996</v>
      </c>
      <c r="AD124" s="3">
        <f>IF('Scenario Inputs'!T$79="",simPy_sheet!$R$124,('Scenario Inputs'!T$79-simPy_sheet!$R$128)+simPy_sheet!$R$124)</f>
        <v>0.44999999999999996</v>
      </c>
      <c r="AE124" s="3">
        <f>IF('Scenario Inputs'!U$79="",simPy_sheet!$R$124,('Scenario Inputs'!U$79-simPy_sheet!$R$128)+simPy_sheet!$R$124)</f>
        <v>0.44999999999999996</v>
      </c>
    </row>
    <row r="125" spans="1:31">
      <c r="A125" s="4">
        <v>4</v>
      </c>
      <c r="B125" s="60">
        <f t="shared" si="91"/>
        <v>0.125</v>
      </c>
      <c r="C125" s="60">
        <f>IF('Scenario Inputs'!I76="",simPy_sheet!$B125,('Scenario Inputs'!I76-simPy_sheet!$B128)+simPy_sheet!$B125)</f>
        <v>0.125</v>
      </c>
      <c r="D125" s="60">
        <f>IF('Scenario Inputs'!J76="",simPy_sheet!$B125,('Scenario Inputs'!J76-simPy_sheet!$B128)+simPy_sheet!$B125)</f>
        <v>0.125</v>
      </c>
      <c r="E125" s="60">
        <f>IF('Scenario Inputs'!K76="",simPy_sheet!$B125,('Scenario Inputs'!K76-simPy_sheet!$B128)+simPy_sheet!$B125)</f>
        <v>0.125</v>
      </c>
      <c r="F125" s="60">
        <f>IF('Scenario Inputs'!L76="",simPy_sheet!$B125,('Scenario Inputs'!L76-simPy_sheet!$B128)+simPy_sheet!$B125)</f>
        <v>0.125</v>
      </c>
      <c r="G125" s="60">
        <f>IF('Scenario Inputs'!M76="",simPy_sheet!$B125,('Scenario Inputs'!M76-simPy_sheet!$B128)+simPy_sheet!$B125)</f>
        <v>0.125</v>
      </c>
      <c r="H125" s="60">
        <f>IF('Scenario Inputs'!N76="",simPy_sheet!$B125,('Scenario Inputs'!N76-simPy_sheet!$B128)+simPy_sheet!$B125)</f>
        <v>0.125</v>
      </c>
      <c r="I125" s="60">
        <f>IF('Scenario Inputs'!O76="",simPy_sheet!$B125,('Scenario Inputs'!O76-simPy_sheet!$B128)+simPy_sheet!$B125)</f>
        <v>0.125</v>
      </c>
      <c r="J125" s="60">
        <f>IF('Scenario Inputs'!P76="",simPy_sheet!$B125,('Scenario Inputs'!P76-simPy_sheet!$B128)+simPy_sheet!$B125)</f>
        <v>0.125</v>
      </c>
      <c r="K125" s="60">
        <f>IF('Scenario Inputs'!Q76="",simPy_sheet!$B125,('Scenario Inputs'!Q76-simPy_sheet!$B128)+simPy_sheet!$B125)</f>
        <v>0.125</v>
      </c>
      <c r="L125" s="60">
        <f>IF('Scenario Inputs'!R76="",simPy_sheet!$B125,('Scenario Inputs'!R76-simPy_sheet!$B128)+simPy_sheet!$B125)</f>
        <v>0.125</v>
      </c>
      <c r="M125" s="60">
        <f>IF('Scenario Inputs'!S76="",simPy_sheet!$B125,('Scenario Inputs'!S76-simPy_sheet!$B128)+simPy_sheet!$B125)</f>
        <v>0.125</v>
      </c>
      <c r="N125" s="60">
        <f>IF('Scenario Inputs'!T76="",simPy_sheet!$B125,('Scenario Inputs'!T76-simPy_sheet!$B128)+simPy_sheet!$B125)</f>
        <v>0.125</v>
      </c>
      <c r="O125" s="60">
        <f>IF('Scenario Inputs'!U76="",simPy_sheet!$B125,('Scenario Inputs'!U76-simPy_sheet!$B128)+simPy_sheet!$B125)</f>
        <v>0.125</v>
      </c>
      <c r="Q125" s="4">
        <v>4</v>
      </c>
      <c r="R125" s="3">
        <f t="shared" si="90"/>
        <v>0.375</v>
      </c>
      <c r="S125" s="3">
        <f>IF('Scenario Inputs'!I$79="",simPy_sheet!$R$125,('Scenario Inputs'!I$79-simPy_sheet!$R$128)+simPy_sheet!$R$125)</f>
        <v>0.375</v>
      </c>
      <c r="T125" s="3">
        <f>IF('Scenario Inputs'!J$79="",simPy_sheet!$R$125,('Scenario Inputs'!J$79-simPy_sheet!$R$128)+simPy_sheet!$R$125)</f>
        <v>0.375</v>
      </c>
      <c r="U125" s="3">
        <f>IF('Scenario Inputs'!K$79="",simPy_sheet!$R$125,('Scenario Inputs'!K$79-simPy_sheet!$R$128)+simPy_sheet!$R$125)</f>
        <v>0.375</v>
      </c>
      <c r="V125" s="3">
        <f>IF('Scenario Inputs'!L$79="",simPy_sheet!$R$125,('Scenario Inputs'!L$79-simPy_sheet!$R$128)+simPy_sheet!$R$125)</f>
        <v>0.375</v>
      </c>
      <c r="W125" s="3">
        <f>IF('Scenario Inputs'!M$79="",simPy_sheet!$R$125,('Scenario Inputs'!M$79-simPy_sheet!$R$128)+simPy_sheet!$R$125)</f>
        <v>0.375</v>
      </c>
      <c r="X125" s="3">
        <f>IF('Scenario Inputs'!N$79="",simPy_sheet!$R$125,('Scenario Inputs'!N$79-simPy_sheet!$R$128)+simPy_sheet!$R$125)</f>
        <v>0.375</v>
      </c>
      <c r="Y125" s="3">
        <f>IF('Scenario Inputs'!O$79="",simPy_sheet!$R$125,('Scenario Inputs'!O$79-simPy_sheet!$R$128)+simPy_sheet!$R$125)</f>
        <v>0.375</v>
      </c>
      <c r="Z125" s="3">
        <f>IF('Scenario Inputs'!P$79="",simPy_sheet!$R$125,('Scenario Inputs'!P$79-simPy_sheet!$R$128)+simPy_sheet!$R$125)</f>
        <v>0.375</v>
      </c>
      <c r="AA125" s="3">
        <f>IF('Scenario Inputs'!Q$79="",simPy_sheet!$R$125,('Scenario Inputs'!Q$79-simPy_sheet!$R$128)+simPy_sheet!$R$125)</f>
        <v>0.375</v>
      </c>
      <c r="AB125" s="3">
        <f>IF('Scenario Inputs'!R$79="",simPy_sheet!$R$125,('Scenario Inputs'!R$79-simPy_sheet!$R$128)+simPy_sheet!$R$125)</f>
        <v>0.375</v>
      </c>
      <c r="AC125" s="3">
        <f>IF('Scenario Inputs'!S$79="",simPy_sheet!$R$125,('Scenario Inputs'!S$79-simPy_sheet!$R$128)+simPy_sheet!$R$125)</f>
        <v>0.375</v>
      </c>
      <c r="AD125" s="3">
        <f>IF('Scenario Inputs'!T$79="",simPy_sheet!$R$125,('Scenario Inputs'!T$79-simPy_sheet!$R$128)+simPy_sheet!$R$125)</f>
        <v>0.375</v>
      </c>
      <c r="AE125" s="3">
        <f>IF('Scenario Inputs'!U$79="",simPy_sheet!$R$125,('Scenario Inputs'!U$79-simPy_sheet!$R$128)+simPy_sheet!$R$125)</f>
        <v>0.375</v>
      </c>
    </row>
    <row r="126" spans="1:31">
      <c r="A126" s="4">
        <v>5</v>
      </c>
      <c r="B126" s="60">
        <f t="shared" si="91"/>
        <v>7.4999999999999997E-2</v>
      </c>
      <c r="C126" s="60">
        <f>IF('Scenario Inputs'!I76="",simPy_sheet!$B126,('Scenario Inputs'!I76-simPy_sheet!$B128)+simPy_sheet!$B126)</f>
        <v>7.4999999999999997E-2</v>
      </c>
      <c r="D126" s="60">
        <f>IF('Scenario Inputs'!J76="",simPy_sheet!$B126,('Scenario Inputs'!J76-simPy_sheet!$B128)+simPy_sheet!$B126)</f>
        <v>7.4999999999999997E-2</v>
      </c>
      <c r="E126" s="60">
        <f>IF('Scenario Inputs'!K76="",simPy_sheet!$B126,('Scenario Inputs'!K76-simPy_sheet!$B128)+simPy_sheet!$B126)</f>
        <v>7.4999999999999997E-2</v>
      </c>
      <c r="F126" s="60">
        <f>IF('Scenario Inputs'!L76="",simPy_sheet!$B126,('Scenario Inputs'!L76-simPy_sheet!$B128)+simPy_sheet!$B126)</f>
        <v>7.4999999999999997E-2</v>
      </c>
      <c r="G126" s="60">
        <f>IF('Scenario Inputs'!M76="",simPy_sheet!$B126,('Scenario Inputs'!M76-simPy_sheet!$B128)+simPy_sheet!$B126)</f>
        <v>7.4999999999999997E-2</v>
      </c>
      <c r="H126" s="60">
        <f>IF('Scenario Inputs'!N76="",simPy_sheet!$B126,('Scenario Inputs'!N76-simPy_sheet!$B128)+simPy_sheet!$B126)</f>
        <v>7.4999999999999997E-2</v>
      </c>
      <c r="I126" s="60">
        <f>IF('Scenario Inputs'!O76="",simPy_sheet!$B126,('Scenario Inputs'!O76-simPy_sheet!$B128)+simPy_sheet!$B126)</f>
        <v>7.4999999999999997E-2</v>
      </c>
      <c r="J126" s="60">
        <f>IF('Scenario Inputs'!P76="",simPy_sheet!$B126,('Scenario Inputs'!P76-simPy_sheet!$B128)+simPy_sheet!$B126)</f>
        <v>7.4999999999999997E-2</v>
      </c>
      <c r="K126" s="60">
        <f>IF('Scenario Inputs'!Q76="",simPy_sheet!$B126,('Scenario Inputs'!Q76-simPy_sheet!$B128)+simPy_sheet!$B126)</f>
        <v>7.4999999999999997E-2</v>
      </c>
      <c r="L126" s="60">
        <f>IF('Scenario Inputs'!R76="",simPy_sheet!$B126,('Scenario Inputs'!R76-simPy_sheet!$B128)+simPy_sheet!$B126)</f>
        <v>7.4999999999999997E-2</v>
      </c>
      <c r="M126" s="60">
        <f>IF('Scenario Inputs'!S76="",simPy_sheet!$B126,('Scenario Inputs'!S76-simPy_sheet!$B128)+simPy_sheet!$B126)</f>
        <v>7.4999999999999997E-2</v>
      </c>
      <c r="N126" s="60">
        <f>IF('Scenario Inputs'!T76="",simPy_sheet!$B126,('Scenario Inputs'!T76-simPy_sheet!$B128)+simPy_sheet!$B126)</f>
        <v>7.4999999999999997E-2</v>
      </c>
      <c r="O126" s="60">
        <f>IF('Scenario Inputs'!U76="",simPy_sheet!$B126,('Scenario Inputs'!U76-simPy_sheet!$B128)+simPy_sheet!$B126)</f>
        <v>7.4999999999999997E-2</v>
      </c>
      <c r="Q126" s="4">
        <v>5</v>
      </c>
      <c r="R126" s="3">
        <f t="shared" si="90"/>
        <v>0.42499999999999999</v>
      </c>
      <c r="S126" s="3">
        <f>IF('Scenario Inputs'!I$79="",simPy_sheet!$R$126,('Scenario Inputs'!I$79-simPy_sheet!$R$128)+simPy_sheet!$R$126)</f>
        <v>0.42499999999999999</v>
      </c>
      <c r="T126" s="3">
        <f>IF('Scenario Inputs'!J$79="",simPy_sheet!$R$126,('Scenario Inputs'!J$79-simPy_sheet!$R$128)+simPy_sheet!$R$126)</f>
        <v>0.42499999999999999</v>
      </c>
      <c r="U126" s="3">
        <f>IF('Scenario Inputs'!K$79="",simPy_sheet!$R$126,('Scenario Inputs'!K$79-simPy_sheet!$R$128)+simPy_sheet!$R$126)</f>
        <v>0.42499999999999999</v>
      </c>
      <c r="V126" s="3">
        <f>IF('Scenario Inputs'!L$79="",simPy_sheet!$R$126,('Scenario Inputs'!L$79-simPy_sheet!$R$128)+simPy_sheet!$R$126)</f>
        <v>0.42499999999999999</v>
      </c>
      <c r="W126" s="3">
        <f>IF('Scenario Inputs'!M$79="",simPy_sheet!$R$126,('Scenario Inputs'!M$79-simPy_sheet!$R$128)+simPy_sheet!$R$126)</f>
        <v>0.42499999999999999</v>
      </c>
      <c r="X126" s="3">
        <f>IF('Scenario Inputs'!N$79="",simPy_sheet!$R$126,('Scenario Inputs'!N$79-simPy_sheet!$R$128)+simPy_sheet!$R$126)</f>
        <v>0.42499999999999999</v>
      </c>
      <c r="Y126" s="3">
        <f>IF('Scenario Inputs'!O$79="",simPy_sheet!$R$126,('Scenario Inputs'!O$79-simPy_sheet!$R$128)+simPy_sheet!$R$126)</f>
        <v>0.42499999999999999</v>
      </c>
      <c r="Z126" s="3">
        <f>IF('Scenario Inputs'!P$79="",simPy_sheet!$R$126,('Scenario Inputs'!P$79-simPy_sheet!$R$128)+simPy_sheet!$R$126)</f>
        <v>0.42499999999999999</v>
      </c>
      <c r="AA126" s="3">
        <f>IF('Scenario Inputs'!Q$79="",simPy_sheet!$R$126,('Scenario Inputs'!Q$79-simPy_sheet!$R$128)+simPy_sheet!$R$126)</f>
        <v>0.42499999999999999</v>
      </c>
      <c r="AB126" s="3">
        <f>IF('Scenario Inputs'!R$79="",simPy_sheet!$R$126,('Scenario Inputs'!R$79-simPy_sheet!$R$128)+simPy_sheet!$R$126)</f>
        <v>0.42499999999999999</v>
      </c>
      <c r="AC126" s="3">
        <f>IF('Scenario Inputs'!S$79="",simPy_sheet!$R$126,('Scenario Inputs'!S$79-simPy_sheet!$R$128)+simPy_sheet!$R$126)</f>
        <v>0.42499999999999999</v>
      </c>
      <c r="AD126" s="3">
        <f>IF('Scenario Inputs'!T$79="",simPy_sheet!$R$126,('Scenario Inputs'!T$79-simPy_sheet!$R$128)+simPy_sheet!$R$126)</f>
        <v>0.42499999999999999</v>
      </c>
      <c r="AE126" s="3">
        <f>IF('Scenario Inputs'!U$79="",simPy_sheet!$R$126,('Scenario Inputs'!U$79-simPy_sheet!$R$128)+simPy_sheet!$R$126)</f>
        <v>0.42499999999999999</v>
      </c>
    </row>
    <row r="127" spans="1:31">
      <c r="A127" s="4">
        <v>6</v>
      </c>
      <c r="B127" s="60">
        <f t="shared" si="91"/>
        <v>2E-3</v>
      </c>
      <c r="C127" s="60">
        <f>IF('Scenario Inputs'!I76="",simPy_sheet!$B127,('Scenario Inputs'!I76-simPy_sheet!$B128)+simPy_sheet!$B127)</f>
        <v>2E-3</v>
      </c>
      <c r="D127" s="60">
        <f>IF('Scenario Inputs'!J76="",simPy_sheet!$B127,('Scenario Inputs'!J76-simPy_sheet!$B128)+simPy_sheet!$B127)</f>
        <v>2E-3</v>
      </c>
      <c r="E127" s="60">
        <f>IF('Scenario Inputs'!K76="",simPy_sheet!$B127,('Scenario Inputs'!K76-simPy_sheet!$B128)+simPy_sheet!$B127)</f>
        <v>2E-3</v>
      </c>
      <c r="F127" s="60">
        <f>IF('Scenario Inputs'!L76="",simPy_sheet!$B127,('Scenario Inputs'!L76-simPy_sheet!$B128)+simPy_sheet!$B127)</f>
        <v>2E-3</v>
      </c>
      <c r="G127" s="60">
        <f>IF('Scenario Inputs'!M76="",simPy_sheet!$B127,('Scenario Inputs'!M76-simPy_sheet!$B128)+simPy_sheet!$B127)</f>
        <v>2E-3</v>
      </c>
      <c r="H127" s="60">
        <f>IF('Scenario Inputs'!N76="",simPy_sheet!$B127,('Scenario Inputs'!N76-simPy_sheet!$B128)+simPy_sheet!$B127)</f>
        <v>2E-3</v>
      </c>
      <c r="I127" s="60">
        <f>IF('Scenario Inputs'!O76="",simPy_sheet!$B127,('Scenario Inputs'!O76-simPy_sheet!$B128)+simPy_sheet!$B127)</f>
        <v>2E-3</v>
      </c>
      <c r="J127" s="60">
        <f>IF('Scenario Inputs'!P76="",simPy_sheet!$B127,('Scenario Inputs'!P76-simPy_sheet!$B128)+simPy_sheet!$B127)</f>
        <v>2E-3</v>
      </c>
      <c r="K127" s="60">
        <f>IF('Scenario Inputs'!Q76="",simPy_sheet!$B127,('Scenario Inputs'!Q76-simPy_sheet!$B128)+simPy_sheet!$B127)</f>
        <v>2E-3</v>
      </c>
      <c r="L127" s="60">
        <f>IF('Scenario Inputs'!R76="",simPy_sheet!$B127,('Scenario Inputs'!R76-simPy_sheet!$B128)+simPy_sheet!$B127)</f>
        <v>2E-3</v>
      </c>
      <c r="M127" s="60">
        <f>IF('Scenario Inputs'!S76="",simPy_sheet!$B127,('Scenario Inputs'!S76-simPy_sheet!$B128)+simPy_sheet!$B127)</f>
        <v>2E-3</v>
      </c>
      <c r="N127" s="60">
        <f>IF('Scenario Inputs'!T76="",simPy_sheet!$B127,('Scenario Inputs'!T76-simPy_sheet!$B128)+simPy_sheet!$B127)</f>
        <v>2E-3</v>
      </c>
      <c r="O127" s="60">
        <f>IF('Scenario Inputs'!U76="",simPy_sheet!$B127,('Scenario Inputs'!U76-simPy_sheet!$B128)+simPy_sheet!$B127)</f>
        <v>2E-3</v>
      </c>
      <c r="Q127" s="4">
        <v>6</v>
      </c>
      <c r="R127" s="3">
        <f t="shared" si="90"/>
        <v>9.8000000000000004E-2</v>
      </c>
      <c r="S127" s="3">
        <f>IF('Scenario Inputs'!I$79="",simPy_sheet!$R$127,('Scenario Inputs'!I$79-simPy_sheet!$R$128)+simPy_sheet!$R$127)</f>
        <v>9.8000000000000004E-2</v>
      </c>
      <c r="T127" s="3">
        <f>IF('Scenario Inputs'!J$79="",simPy_sheet!$R$127,('Scenario Inputs'!J$79-simPy_sheet!$R$128)+simPy_sheet!$R$127)</f>
        <v>9.8000000000000004E-2</v>
      </c>
      <c r="U127" s="3">
        <f>IF('Scenario Inputs'!K$79="",simPy_sheet!$R$127,('Scenario Inputs'!K$79-simPy_sheet!$R$128)+simPy_sheet!$R$127)</f>
        <v>9.8000000000000004E-2</v>
      </c>
      <c r="V127" s="3">
        <f>IF('Scenario Inputs'!L$79="",simPy_sheet!$R$127,('Scenario Inputs'!L$79-simPy_sheet!$R$128)+simPy_sheet!$R$127)</f>
        <v>9.8000000000000004E-2</v>
      </c>
      <c r="W127" s="3">
        <f>IF('Scenario Inputs'!M$79="",simPy_sheet!$R$127,('Scenario Inputs'!M$79-simPy_sheet!$R$128)+simPy_sheet!$R$127)</f>
        <v>9.8000000000000004E-2</v>
      </c>
      <c r="X127" s="3">
        <f>IF('Scenario Inputs'!N$79="",simPy_sheet!$R$127,('Scenario Inputs'!N$79-simPy_sheet!$R$128)+simPy_sheet!$R$127)</f>
        <v>9.8000000000000004E-2</v>
      </c>
      <c r="Y127" s="3">
        <f>IF('Scenario Inputs'!O$79="",simPy_sheet!$R$127,('Scenario Inputs'!O$79-simPy_sheet!$R$128)+simPy_sheet!$R$127)</f>
        <v>9.8000000000000004E-2</v>
      </c>
      <c r="Z127" s="3">
        <f>IF('Scenario Inputs'!P$79="",simPy_sheet!$R$127,('Scenario Inputs'!P$79-simPy_sheet!$R$128)+simPy_sheet!$R$127)</f>
        <v>9.8000000000000004E-2</v>
      </c>
      <c r="AA127" s="3">
        <f>IF('Scenario Inputs'!Q$79="",simPy_sheet!$R$127,('Scenario Inputs'!Q$79-simPy_sheet!$R$128)+simPy_sheet!$R$127)</f>
        <v>9.8000000000000004E-2</v>
      </c>
      <c r="AB127" s="3">
        <f>IF('Scenario Inputs'!R$79="",simPy_sheet!$R$127,('Scenario Inputs'!R$79-simPy_sheet!$R$128)+simPy_sheet!$R$127)</f>
        <v>9.8000000000000004E-2</v>
      </c>
      <c r="AC127" s="3">
        <f>IF('Scenario Inputs'!S$79="",simPy_sheet!$R$127,('Scenario Inputs'!S$79-simPy_sheet!$R$128)+simPy_sheet!$R$127)</f>
        <v>9.8000000000000004E-2</v>
      </c>
      <c r="AD127" s="3">
        <f>IF('Scenario Inputs'!T$79="",simPy_sheet!$R$127,('Scenario Inputs'!T$79-simPy_sheet!$R$128)+simPy_sheet!$R$127)</f>
        <v>9.8000000000000004E-2</v>
      </c>
      <c r="AE127" s="3">
        <f>IF('Scenario Inputs'!U$79="",simPy_sheet!$R$127,('Scenario Inputs'!U$79-simPy_sheet!$R$128)+simPy_sheet!$R$127)</f>
        <v>9.8000000000000004E-2</v>
      </c>
    </row>
    <row r="128" spans="1:31">
      <c r="A128" s="4"/>
      <c r="B128" s="60" cm="1">
        <f t="array" ref="B128">SUM(B122:B127*$R$109:$R$114)</f>
        <v>9.7838221418373866E-2</v>
      </c>
      <c r="C128" s="60" cm="1">
        <f t="array" ref="C128">SUM(C122:C127*$R$109:$R$114)</f>
        <v>9.7838221418373866E-2</v>
      </c>
      <c r="D128" s="60" cm="1">
        <f t="array" ref="D128">SUM(D122:D127*$R$109:$R$114)</f>
        <v>9.7838221418373866E-2</v>
      </c>
      <c r="E128" s="60" cm="1">
        <f t="array" ref="E128">SUM(E122:E127*$R$109:$R$114)</f>
        <v>9.7838221418373866E-2</v>
      </c>
      <c r="F128" s="60" cm="1">
        <f t="array" ref="F128">SUM(F122:F127*$R$109:$R$114)</f>
        <v>9.7838221418373866E-2</v>
      </c>
      <c r="G128" s="60" cm="1">
        <f t="array" ref="G128">SUM(G122:G127*$R$109:$R$114)</f>
        <v>9.7838221418373866E-2</v>
      </c>
      <c r="H128" s="60" cm="1">
        <f t="array" ref="H128">SUM(H122:H127*$R$109:$R$114)</f>
        <v>9.7838221418373866E-2</v>
      </c>
      <c r="I128" s="60" cm="1">
        <f t="array" ref="I128">SUM(I122:I127*$R$109:$R$114)</f>
        <v>9.7838221418373866E-2</v>
      </c>
      <c r="J128" s="60" cm="1">
        <f t="array" ref="J128">SUM(J122:J127*$R$109:$R$114)</f>
        <v>9.7838221418373866E-2</v>
      </c>
      <c r="K128" s="60" cm="1">
        <f t="array" ref="K128">SUM(K122:K127*$R$109:$R$114)</f>
        <v>9.7838221418373866E-2</v>
      </c>
      <c r="L128" s="60" cm="1">
        <f t="array" ref="L128">SUM(L122:L127*$R$109:$R$114)</f>
        <v>9.7838221418373866E-2</v>
      </c>
      <c r="M128" s="60" cm="1">
        <f t="array" ref="M128">SUM(M122:M127*$R$109:$R$114)</f>
        <v>9.7838221418373866E-2</v>
      </c>
      <c r="N128" s="60" cm="1">
        <f t="array" ref="N128">SUM(N122:N127*$R$109:$R$114)</f>
        <v>9.7838221418373866E-2</v>
      </c>
      <c r="O128" s="60" cm="1">
        <f t="array" ref="O128">SUM(O122:O127*$R$109:$R$114)</f>
        <v>9.7838221418373866E-2</v>
      </c>
      <c r="Q128" s="4"/>
      <c r="R128" s="60" cm="1">
        <f t="array" ref="R128">SUM($R$109:$R$114*R122:R127)</f>
        <v>0.33525620432772352</v>
      </c>
      <c r="S128" s="60" cm="1">
        <f t="array" ref="S128">SUM($R$109:$R$114*S122:S127)</f>
        <v>0.33525620432772352</v>
      </c>
      <c r="T128" s="60" cm="1">
        <f t="array" ref="T128">SUM($R$109:$R$114*T122:T127)</f>
        <v>0.33525620432772352</v>
      </c>
      <c r="U128" s="60" cm="1">
        <f t="array" ref="U128">SUM($R$109:$R$114*U122:U127)</f>
        <v>0.33525620432772352</v>
      </c>
      <c r="V128" s="60" cm="1">
        <f t="array" ref="V128">SUM($R$109:$R$114*V122:V127)</f>
        <v>0.33525620432772352</v>
      </c>
      <c r="W128" s="60" cm="1">
        <f t="array" ref="W128">SUM($R$109:$R$114*W122:W127)</f>
        <v>0.33525620432772352</v>
      </c>
      <c r="X128" s="60" cm="1">
        <f t="array" ref="X128">SUM($R$109:$R$114*X122:X127)</f>
        <v>0.33525620432772352</v>
      </c>
      <c r="Y128" s="60" cm="1">
        <f t="array" ref="Y128">SUM($R$109:$R$114*Y122:Y127)</f>
        <v>0.33525620432772352</v>
      </c>
      <c r="Z128" s="60" cm="1">
        <f t="array" ref="Z128">SUM($R$109:$R$114*Z122:Z127)</f>
        <v>0.33525620432772352</v>
      </c>
      <c r="AA128" s="60" cm="1">
        <f t="array" ref="AA128">SUM($R$109:$R$114*AA122:AA127)</f>
        <v>0.33525620432772352</v>
      </c>
      <c r="AB128" s="60" cm="1">
        <f t="array" ref="AB128">SUM($R$109:$R$114*AB122:AB127)</f>
        <v>0.33525620432772352</v>
      </c>
      <c r="AC128" s="60" cm="1">
        <f t="array" ref="AC128">SUM($R$109:$R$114*AC122:AC127)</f>
        <v>0.33525620432772352</v>
      </c>
      <c r="AD128" s="60" cm="1">
        <f t="array" ref="AD128">SUM($R$109:$R$114*AD122:AD127)</f>
        <v>0.33525620432772352</v>
      </c>
      <c r="AE128" s="60" cm="1">
        <f t="array" ref="AE128">SUM($R$109:$R$114*AE122:AE127)</f>
        <v>0.33525620432772352</v>
      </c>
    </row>
    <row r="129" spans="1:7">
      <c r="A129" s="4"/>
    </row>
    <row r="130" spans="1:7">
      <c r="A130" s="45" t="s">
        <v>104</v>
      </c>
      <c r="C130" s="1" t="s">
        <v>58</v>
      </c>
      <c r="D130" s="1" t="s">
        <v>123</v>
      </c>
    </row>
    <row r="131" spans="1:7">
      <c r="A131" s="4" t="s">
        <v>122</v>
      </c>
    </row>
    <row r="132" spans="1:7">
      <c r="A132" s="4"/>
      <c r="B132" t="s">
        <v>105</v>
      </c>
      <c r="C132" s="2">
        <f>Prev_Pop_Initialisation!C3</f>
        <v>0</v>
      </c>
      <c r="D132" s="2">
        <f>Prev_Pop_Initialisation!D3</f>
        <v>0</v>
      </c>
    </row>
    <row r="133" spans="1:7">
      <c r="A133" s="4"/>
      <c r="B133" t="s">
        <v>106</v>
      </c>
      <c r="C133" s="2">
        <f>Prev_Pop_Initialisation!C4</f>
        <v>0</v>
      </c>
      <c r="D133" s="2">
        <f>Prev_Pop_Initialisation!D4</f>
        <v>0</v>
      </c>
    </row>
    <row r="134" spans="1:7">
      <c r="A134" s="4"/>
      <c r="B134" t="s">
        <v>107</v>
      </c>
      <c r="C134" s="2">
        <f>Prev_Pop_Initialisation!C5</f>
        <v>0</v>
      </c>
      <c r="D134" s="2">
        <f>Prev_Pop_Initialisation!D5</f>
        <v>0</v>
      </c>
    </row>
    <row r="135" spans="1:7">
      <c r="A135" s="4"/>
      <c r="B135" t="s">
        <v>108</v>
      </c>
      <c r="C135" s="2">
        <f>Prev_Pop_Initialisation!C6</f>
        <v>0</v>
      </c>
      <c r="D135" s="2">
        <f>Prev_Pop_Initialisation!D6</f>
        <v>0</v>
      </c>
    </row>
    <row r="136" spans="1:7">
      <c r="B136" t="s">
        <v>109</v>
      </c>
      <c r="C136" s="2">
        <f>Prev_Pop_Initialisation!C7</f>
        <v>0</v>
      </c>
      <c r="D136" s="2">
        <f>Prev_Pop_Initialisation!D7</f>
        <v>0</v>
      </c>
    </row>
    <row r="137" spans="1:7">
      <c r="B137" t="s">
        <v>110</v>
      </c>
      <c r="C137" s="2">
        <f>Prev_Pop_Initialisation!C8</f>
        <v>0</v>
      </c>
      <c r="D137" s="2">
        <f>Prev_Pop_Initialisation!D8</f>
        <v>0</v>
      </c>
    </row>
    <row r="138" spans="1:7">
      <c r="B138" t="s">
        <v>111</v>
      </c>
      <c r="C138" s="2">
        <f>Prev_Pop_Initialisation!C9</f>
        <v>0</v>
      </c>
      <c r="D138" s="2">
        <f>Prev_Pop_Initialisation!D9</f>
        <v>0</v>
      </c>
    </row>
    <row r="139" spans="1:7">
      <c r="B139" t="s">
        <v>112</v>
      </c>
      <c r="C139" s="2">
        <f>Prev_Pop_Initialisation!C10</f>
        <v>0</v>
      </c>
      <c r="D139" s="2">
        <f>Prev_Pop_Initialisation!D10</f>
        <v>0</v>
      </c>
    </row>
    <row r="140" spans="1:7">
      <c r="B140" t="s">
        <v>113</v>
      </c>
      <c r="C140" s="2">
        <f>Prev_Pop_Initialisation!C11</f>
        <v>0</v>
      </c>
      <c r="D140" s="2">
        <f>Prev_Pop_Initialisation!D11</f>
        <v>0</v>
      </c>
    </row>
    <row r="141" spans="1:7">
      <c r="B141" t="s">
        <v>114</v>
      </c>
      <c r="C141" s="2">
        <f>Prev_Pop_Initialisation!C12</f>
        <v>0</v>
      </c>
      <c r="D141" s="2">
        <f>Prev_Pop_Initialisation!D12</f>
        <v>0</v>
      </c>
    </row>
    <row r="142" spans="1:7">
      <c r="B142" t="s">
        <v>115</v>
      </c>
      <c r="C142" s="2">
        <f>Prev_Pop_Initialisation!C13</f>
        <v>0</v>
      </c>
      <c r="D142" s="2">
        <f>Prev_Pop_Initialisation!D13</f>
        <v>0</v>
      </c>
    </row>
    <row r="143" spans="1:7">
      <c r="B143" t="s">
        <v>116</v>
      </c>
      <c r="C143" s="2">
        <f>Prev_Pop_Initialisation!C14</f>
        <v>0</v>
      </c>
      <c r="D143" s="2">
        <f>Prev_Pop_Initialisation!D14</f>
        <v>0</v>
      </c>
      <c r="F143">
        <f>SUM(C132:C143)</f>
        <v>0</v>
      </c>
      <c r="G143">
        <f>SUM(D132:D143)</f>
        <v>0</v>
      </c>
    </row>
    <row r="144" spans="1:7">
      <c r="C144" s="2"/>
      <c r="D144" s="2"/>
    </row>
    <row r="145" spans="1:7">
      <c r="A145" t="s">
        <v>117</v>
      </c>
      <c r="C145" s="2"/>
      <c r="D145" s="2"/>
    </row>
    <row r="146" spans="1:7">
      <c r="B146" t="s">
        <v>105</v>
      </c>
      <c r="C146" s="2">
        <f>Prev_Pop_Initialisation!C17</f>
        <v>10</v>
      </c>
      <c r="D146" s="2">
        <f>Prev_Pop_Initialisation!D17</f>
        <v>20</v>
      </c>
    </row>
    <row r="147" spans="1:7">
      <c r="B147" t="s">
        <v>106</v>
      </c>
      <c r="C147" s="2">
        <f>Prev_Pop_Initialisation!C18</f>
        <v>10</v>
      </c>
      <c r="D147" s="2">
        <f>Prev_Pop_Initialisation!D18</f>
        <v>20</v>
      </c>
    </row>
    <row r="148" spans="1:7">
      <c r="B148" t="s">
        <v>107</v>
      </c>
      <c r="C148" s="2">
        <f>Prev_Pop_Initialisation!C19</f>
        <v>10</v>
      </c>
      <c r="D148" s="2">
        <f>Prev_Pop_Initialisation!D19</f>
        <v>20</v>
      </c>
    </row>
    <row r="149" spans="1:7">
      <c r="B149" t="s">
        <v>108</v>
      </c>
      <c r="C149" s="2">
        <f>Prev_Pop_Initialisation!C20</f>
        <v>10</v>
      </c>
      <c r="D149" s="2">
        <f>Prev_Pop_Initialisation!D20</f>
        <v>20</v>
      </c>
    </row>
    <row r="150" spans="1:7">
      <c r="B150" t="s">
        <v>109</v>
      </c>
      <c r="C150" s="2">
        <f>Prev_Pop_Initialisation!C21</f>
        <v>10</v>
      </c>
      <c r="D150" s="2">
        <f>Prev_Pop_Initialisation!D21</f>
        <v>20</v>
      </c>
    </row>
    <row r="151" spans="1:7">
      <c r="B151" t="s">
        <v>110</v>
      </c>
      <c r="C151" s="2">
        <f>Prev_Pop_Initialisation!C22</f>
        <v>10</v>
      </c>
      <c r="D151" s="2">
        <f>Prev_Pop_Initialisation!D22</f>
        <v>20</v>
      </c>
    </row>
    <row r="152" spans="1:7">
      <c r="B152" t="s">
        <v>111</v>
      </c>
      <c r="C152" s="2">
        <f>Prev_Pop_Initialisation!C23</f>
        <v>10</v>
      </c>
      <c r="D152" s="2">
        <f>Prev_Pop_Initialisation!D23</f>
        <v>20</v>
      </c>
    </row>
    <row r="153" spans="1:7">
      <c r="B153" t="s">
        <v>112</v>
      </c>
      <c r="C153" s="2">
        <f>Prev_Pop_Initialisation!C24</f>
        <v>10</v>
      </c>
      <c r="D153" s="2">
        <f>Prev_Pop_Initialisation!D24</f>
        <v>20</v>
      </c>
    </row>
    <row r="154" spans="1:7">
      <c r="B154" t="s">
        <v>113</v>
      </c>
      <c r="C154" s="2">
        <f>Prev_Pop_Initialisation!C25</f>
        <v>10</v>
      </c>
      <c r="D154" s="2">
        <f>Prev_Pop_Initialisation!D25</f>
        <v>20</v>
      </c>
    </row>
    <row r="155" spans="1:7">
      <c r="B155" t="s">
        <v>114</v>
      </c>
      <c r="C155" s="2">
        <f>Prev_Pop_Initialisation!C26</f>
        <v>10</v>
      </c>
      <c r="D155" s="2">
        <f>Prev_Pop_Initialisation!D26</f>
        <v>20</v>
      </c>
    </row>
    <row r="156" spans="1:7">
      <c r="B156" t="s">
        <v>115</v>
      </c>
      <c r="C156" s="2">
        <f>Prev_Pop_Initialisation!C27</f>
        <v>10</v>
      </c>
      <c r="D156" s="2">
        <f>Prev_Pop_Initialisation!D27</f>
        <v>20</v>
      </c>
    </row>
    <row r="157" spans="1:7">
      <c r="B157" t="s">
        <v>116</v>
      </c>
      <c r="C157" s="2">
        <f>Prev_Pop_Initialisation!C28</f>
        <v>10</v>
      </c>
      <c r="D157" s="2">
        <f>Prev_Pop_Initialisation!D28</f>
        <v>20</v>
      </c>
      <c r="F157">
        <f>SUM(C146:C157)</f>
        <v>120</v>
      </c>
      <c r="G157">
        <f>SUM(D146:D157)</f>
        <v>240</v>
      </c>
    </row>
    <row r="158" spans="1:7">
      <c r="C158" s="2"/>
      <c r="D158" s="2"/>
    </row>
    <row r="159" spans="1:7">
      <c r="A159" t="s">
        <v>118</v>
      </c>
      <c r="C159" s="2"/>
      <c r="D159" s="2"/>
    </row>
    <row r="160" spans="1:7">
      <c r="B160" t="s">
        <v>105</v>
      </c>
      <c r="C160" s="2">
        <f>Prev_Pop_Initialisation!C31</f>
        <v>1</v>
      </c>
      <c r="D160" s="2">
        <f>Prev_Pop_Initialisation!D31</f>
        <v>7</v>
      </c>
    </row>
    <row r="161" spans="1:7">
      <c r="B161" t="s">
        <v>106</v>
      </c>
      <c r="C161" s="2">
        <f>Prev_Pop_Initialisation!C32</f>
        <v>1</v>
      </c>
      <c r="D161" s="2">
        <f>Prev_Pop_Initialisation!D32</f>
        <v>7</v>
      </c>
    </row>
    <row r="162" spans="1:7">
      <c r="B162" t="s">
        <v>107</v>
      </c>
      <c r="C162" s="2">
        <f>Prev_Pop_Initialisation!C33</f>
        <v>1</v>
      </c>
      <c r="D162" s="2">
        <f>Prev_Pop_Initialisation!D33</f>
        <v>7</v>
      </c>
    </row>
    <row r="163" spans="1:7">
      <c r="B163" t="s">
        <v>108</v>
      </c>
      <c r="C163" s="2">
        <f>Prev_Pop_Initialisation!C34</f>
        <v>1</v>
      </c>
      <c r="D163" s="2">
        <f>Prev_Pop_Initialisation!D34</f>
        <v>7</v>
      </c>
    </row>
    <row r="164" spans="1:7">
      <c r="B164" t="s">
        <v>109</v>
      </c>
      <c r="C164" s="2">
        <f>Prev_Pop_Initialisation!C35</f>
        <v>1</v>
      </c>
      <c r="D164" s="2">
        <f>Prev_Pop_Initialisation!D35</f>
        <v>7</v>
      </c>
    </row>
    <row r="165" spans="1:7">
      <c r="B165" t="s">
        <v>110</v>
      </c>
      <c r="C165" s="2">
        <f>Prev_Pop_Initialisation!C36</f>
        <v>1</v>
      </c>
      <c r="D165" s="2">
        <f>Prev_Pop_Initialisation!D36</f>
        <v>7</v>
      </c>
    </row>
    <row r="166" spans="1:7">
      <c r="B166" t="s">
        <v>111</v>
      </c>
      <c r="C166" s="2">
        <f>Prev_Pop_Initialisation!C37</f>
        <v>1</v>
      </c>
      <c r="D166" s="2">
        <f>Prev_Pop_Initialisation!D37</f>
        <v>7</v>
      </c>
    </row>
    <row r="167" spans="1:7">
      <c r="B167" t="s">
        <v>112</v>
      </c>
      <c r="C167" s="2">
        <f>Prev_Pop_Initialisation!C38</f>
        <v>1</v>
      </c>
      <c r="D167" s="2">
        <f>Prev_Pop_Initialisation!D38</f>
        <v>7</v>
      </c>
    </row>
    <row r="168" spans="1:7">
      <c r="B168" t="s">
        <v>113</v>
      </c>
      <c r="C168" s="2">
        <f>Prev_Pop_Initialisation!C39</f>
        <v>1</v>
      </c>
      <c r="D168" s="2">
        <f>Prev_Pop_Initialisation!D39</f>
        <v>7</v>
      </c>
    </row>
    <row r="169" spans="1:7">
      <c r="B169" t="s">
        <v>114</v>
      </c>
      <c r="C169" s="2">
        <f>Prev_Pop_Initialisation!C40</f>
        <v>1</v>
      </c>
      <c r="D169" s="2">
        <f>Prev_Pop_Initialisation!D40</f>
        <v>7</v>
      </c>
    </row>
    <row r="170" spans="1:7">
      <c r="B170" t="s">
        <v>115</v>
      </c>
      <c r="C170" s="2">
        <f>Prev_Pop_Initialisation!C41</f>
        <v>1</v>
      </c>
      <c r="D170" s="2">
        <f>Prev_Pop_Initialisation!D41</f>
        <v>7</v>
      </c>
    </row>
    <row r="171" spans="1:7">
      <c r="B171" t="s">
        <v>116</v>
      </c>
      <c r="C171" s="2">
        <f>Prev_Pop_Initialisation!C42</f>
        <v>1</v>
      </c>
      <c r="D171" s="2">
        <f>Prev_Pop_Initialisation!D42</f>
        <v>7</v>
      </c>
      <c r="F171">
        <f>SUM(C160:C171)</f>
        <v>12</v>
      </c>
      <c r="G171">
        <f>SUM(D160:D171)</f>
        <v>84</v>
      </c>
    </row>
    <row r="172" spans="1:7">
      <c r="C172" s="2"/>
      <c r="D172" s="2"/>
    </row>
    <row r="173" spans="1:7">
      <c r="A173" t="s">
        <v>119</v>
      </c>
      <c r="C173" s="2"/>
      <c r="D173" s="2"/>
    </row>
    <row r="174" spans="1:7">
      <c r="B174" t="s">
        <v>105</v>
      </c>
      <c r="C174" s="2">
        <f>Prev_Pop_Initialisation!C45</f>
        <v>7</v>
      </c>
      <c r="D174" s="2">
        <f>Prev_Pop_Initialisation!D45</f>
        <v>10</v>
      </c>
    </row>
    <row r="175" spans="1:7">
      <c r="B175" t="s">
        <v>106</v>
      </c>
      <c r="C175" s="2">
        <f>Prev_Pop_Initialisation!C46</f>
        <v>7</v>
      </c>
      <c r="D175" s="2">
        <f>Prev_Pop_Initialisation!D46</f>
        <v>10</v>
      </c>
    </row>
    <row r="176" spans="1:7">
      <c r="B176" t="s">
        <v>107</v>
      </c>
      <c r="C176" s="2">
        <f>Prev_Pop_Initialisation!C47</f>
        <v>7</v>
      </c>
      <c r="D176" s="2">
        <f>Prev_Pop_Initialisation!D47</f>
        <v>10</v>
      </c>
    </row>
    <row r="177" spans="1:7">
      <c r="B177" t="s">
        <v>108</v>
      </c>
      <c r="C177" s="2">
        <f>Prev_Pop_Initialisation!C48</f>
        <v>7</v>
      </c>
      <c r="D177" s="2">
        <f>Prev_Pop_Initialisation!D48</f>
        <v>10</v>
      </c>
    </row>
    <row r="178" spans="1:7">
      <c r="B178" t="s">
        <v>109</v>
      </c>
      <c r="C178" s="2">
        <f>Prev_Pop_Initialisation!C49</f>
        <v>7</v>
      </c>
      <c r="D178" s="2">
        <f>Prev_Pop_Initialisation!D49</f>
        <v>10</v>
      </c>
    </row>
    <row r="179" spans="1:7">
      <c r="B179" t="s">
        <v>110</v>
      </c>
      <c r="C179" s="2">
        <f>Prev_Pop_Initialisation!C50</f>
        <v>7</v>
      </c>
      <c r="D179" s="2">
        <f>Prev_Pop_Initialisation!D50</f>
        <v>10</v>
      </c>
    </row>
    <row r="180" spans="1:7">
      <c r="B180" t="s">
        <v>111</v>
      </c>
      <c r="C180" s="2">
        <f>Prev_Pop_Initialisation!C51</f>
        <v>7</v>
      </c>
      <c r="D180" s="2">
        <f>Prev_Pop_Initialisation!D51</f>
        <v>10</v>
      </c>
    </row>
    <row r="181" spans="1:7">
      <c r="B181" t="s">
        <v>112</v>
      </c>
      <c r="C181" s="2">
        <f>Prev_Pop_Initialisation!C52</f>
        <v>7</v>
      </c>
      <c r="D181" s="2">
        <f>Prev_Pop_Initialisation!D52</f>
        <v>10</v>
      </c>
    </row>
    <row r="182" spans="1:7">
      <c r="B182" t="s">
        <v>113</v>
      </c>
      <c r="C182" s="2">
        <f>Prev_Pop_Initialisation!C53</f>
        <v>7</v>
      </c>
      <c r="D182" s="2">
        <f>Prev_Pop_Initialisation!D53</f>
        <v>10</v>
      </c>
    </row>
    <row r="183" spans="1:7">
      <c r="B183" t="s">
        <v>114</v>
      </c>
      <c r="C183" s="2">
        <f>Prev_Pop_Initialisation!C54</f>
        <v>7</v>
      </c>
      <c r="D183" s="2">
        <f>Prev_Pop_Initialisation!D54</f>
        <v>10</v>
      </c>
    </row>
    <row r="184" spans="1:7">
      <c r="B184" t="s">
        <v>115</v>
      </c>
      <c r="C184" s="2">
        <f>Prev_Pop_Initialisation!C55</f>
        <v>7</v>
      </c>
      <c r="D184" s="2">
        <f>Prev_Pop_Initialisation!D55</f>
        <v>10</v>
      </c>
    </row>
    <row r="185" spans="1:7">
      <c r="B185" t="s">
        <v>116</v>
      </c>
      <c r="C185" s="2">
        <f>Prev_Pop_Initialisation!C56</f>
        <v>7</v>
      </c>
      <c r="D185" s="2">
        <f>Prev_Pop_Initialisation!D56</f>
        <v>10</v>
      </c>
      <c r="F185">
        <f>SUM(C174:C185)</f>
        <v>84</v>
      </c>
      <c r="G185">
        <f>SUM(D174:D185)</f>
        <v>120</v>
      </c>
    </row>
    <row r="186" spans="1:7">
      <c r="C186" s="2"/>
      <c r="D186" s="2"/>
    </row>
    <row r="187" spans="1:7">
      <c r="A187" t="s">
        <v>120</v>
      </c>
      <c r="C187" s="2"/>
      <c r="D187" s="2"/>
    </row>
    <row r="188" spans="1:7">
      <c r="B188" t="s">
        <v>105</v>
      </c>
      <c r="C188" s="2">
        <f>Prev_Pop_Initialisation!C59</f>
        <v>3</v>
      </c>
      <c r="D188" s="2">
        <f>Prev_Pop_Initialisation!D59</f>
        <v>10</v>
      </c>
    </row>
    <row r="189" spans="1:7">
      <c r="B189" t="s">
        <v>106</v>
      </c>
      <c r="C189" s="2">
        <f>Prev_Pop_Initialisation!C60</f>
        <v>3</v>
      </c>
      <c r="D189" s="2">
        <f>Prev_Pop_Initialisation!D60</f>
        <v>10</v>
      </c>
    </row>
    <row r="190" spans="1:7">
      <c r="B190" t="s">
        <v>107</v>
      </c>
      <c r="C190" s="2">
        <f>Prev_Pop_Initialisation!C61</f>
        <v>3</v>
      </c>
      <c r="D190" s="2">
        <f>Prev_Pop_Initialisation!D61</f>
        <v>10</v>
      </c>
    </row>
    <row r="191" spans="1:7">
      <c r="B191" t="s">
        <v>108</v>
      </c>
      <c r="C191" s="2">
        <f>Prev_Pop_Initialisation!C62</f>
        <v>3</v>
      </c>
      <c r="D191" s="2">
        <f>Prev_Pop_Initialisation!D62</f>
        <v>10</v>
      </c>
    </row>
    <row r="192" spans="1:7">
      <c r="B192" t="s">
        <v>109</v>
      </c>
      <c r="C192" s="2">
        <f>Prev_Pop_Initialisation!C63</f>
        <v>3</v>
      </c>
      <c r="D192" s="2">
        <f>Prev_Pop_Initialisation!D63</f>
        <v>10</v>
      </c>
    </row>
    <row r="193" spans="1:7">
      <c r="B193" t="s">
        <v>110</v>
      </c>
      <c r="C193" s="2">
        <f>Prev_Pop_Initialisation!C64</f>
        <v>3</v>
      </c>
      <c r="D193" s="2">
        <f>Prev_Pop_Initialisation!D64</f>
        <v>10</v>
      </c>
    </row>
    <row r="194" spans="1:7">
      <c r="B194" t="s">
        <v>111</v>
      </c>
      <c r="C194" s="2">
        <f>Prev_Pop_Initialisation!C65</f>
        <v>3</v>
      </c>
      <c r="D194" s="2">
        <f>Prev_Pop_Initialisation!D65</f>
        <v>10</v>
      </c>
    </row>
    <row r="195" spans="1:7">
      <c r="B195" t="s">
        <v>112</v>
      </c>
      <c r="C195" s="2">
        <f>Prev_Pop_Initialisation!C66</f>
        <v>3</v>
      </c>
      <c r="D195" s="2">
        <f>Prev_Pop_Initialisation!D66</f>
        <v>10</v>
      </c>
    </row>
    <row r="196" spans="1:7">
      <c r="B196" t="s">
        <v>113</v>
      </c>
      <c r="C196" s="2">
        <f>Prev_Pop_Initialisation!C67</f>
        <v>3</v>
      </c>
      <c r="D196" s="2">
        <f>Prev_Pop_Initialisation!D67</f>
        <v>10</v>
      </c>
    </row>
    <row r="197" spans="1:7">
      <c r="B197" t="s">
        <v>114</v>
      </c>
      <c r="C197" s="2">
        <f>Prev_Pop_Initialisation!C68</f>
        <v>3</v>
      </c>
      <c r="D197" s="2">
        <f>Prev_Pop_Initialisation!D68</f>
        <v>10</v>
      </c>
    </row>
    <row r="198" spans="1:7">
      <c r="B198" t="s">
        <v>115</v>
      </c>
      <c r="C198" s="2">
        <f>Prev_Pop_Initialisation!C69</f>
        <v>3</v>
      </c>
      <c r="D198" s="2">
        <f>Prev_Pop_Initialisation!D69</f>
        <v>10</v>
      </c>
    </row>
    <row r="199" spans="1:7">
      <c r="B199" t="s">
        <v>116</v>
      </c>
      <c r="C199" s="2">
        <f>Prev_Pop_Initialisation!C70</f>
        <v>3</v>
      </c>
      <c r="D199" s="2">
        <f>Prev_Pop_Initialisation!D70</f>
        <v>10</v>
      </c>
      <c r="F199">
        <f>SUM(C188:C199)</f>
        <v>36</v>
      </c>
      <c r="G199">
        <f>SUM(D188:D199)</f>
        <v>120</v>
      </c>
    </row>
    <row r="200" spans="1:7">
      <c r="C200" s="2"/>
      <c r="D200" s="2"/>
    </row>
    <row r="201" spans="1:7">
      <c r="A201" t="s">
        <v>121</v>
      </c>
      <c r="C201" s="2"/>
      <c r="D201" s="2"/>
    </row>
    <row r="202" spans="1:7">
      <c r="B202" t="s">
        <v>105</v>
      </c>
      <c r="C202" s="2">
        <f>Prev_Pop_Initialisation!C73</f>
        <v>10</v>
      </c>
      <c r="D202" s="2">
        <f>Prev_Pop_Initialisation!D73</f>
        <v>25</v>
      </c>
    </row>
    <row r="203" spans="1:7">
      <c r="B203" t="s">
        <v>106</v>
      </c>
      <c r="C203" s="2">
        <f>Prev_Pop_Initialisation!C74</f>
        <v>10</v>
      </c>
      <c r="D203" s="2">
        <f>Prev_Pop_Initialisation!D74</f>
        <v>25</v>
      </c>
    </row>
    <row r="204" spans="1:7">
      <c r="B204" t="s">
        <v>107</v>
      </c>
      <c r="C204" s="2">
        <f>Prev_Pop_Initialisation!C75</f>
        <v>10</v>
      </c>
      <c r="D204" s="2">
        <f>Prev_Pop_Initialisation!D75</f>
        <v>25</v>
      </c>
    </row>
    <row r="205" spans="1:7">
      <c r="B205" t="s">
        <v>108</v>
      </c>
      <c r="C205" s="2">
        <f>Prev_Pop_Initialisation!C76</f>
        <v>10</v>
      </c>
      <c r="D205" s="2">
        <f>Prev_Pop_Initialisation!D76</f>
        <v>25</v>
      </c>
    </row>
    <row r="206" spans="1:7">
      <c r="B206" t="s">
        <v>109</v>
      </c>
      <c r="C206" s="2">
        <f>Prev_Pop_Initialisation!C77</f>
        <v>10</v>
      </c>
      <c r="D206" s="2">
        <f>Prev_Pop_Initialisation!D77</f>
        <v>25</v>
      </c>
    </row>
    <row r="207" spans="1:7">
      <c r="B207" t="s">
        <v>110</v>
      </c>
      <c r="C207" s="2">
        <f>Prev_Pop_Initialisation!C78</f>
        <v>10</v>
      </c>
      <c r="D207" s="2">
        <f>Prev_Pop_Initialisation!D78</f>
        <v>25</v>
      </c>
    </row>
    <row r="208" spans="1:7">
      <c r="B208" t="s">
        <v>111</v>
      </c>
      <c r="C208" s="2">
        <f>Prev_Pop_Initialisation!C79</f>
        <v>10</v>
      </c>
      <c r="D208" s="2">
        <f>Prev_Pop_Initialisation!D79</f>
        <v>25</v>
      </c>
    </row>
    <row r="209" spans="1:16">
      <c r="B209" t="s">
        <v>112</v>
      </c>
      <c r="C209" s="2">
        <f>Prev_Pop_Initialisation!C80</f>
        <v>10</v>
      </c>
      <c r="D209" s="2">
        <f>Prev_Pop_Initialisation!D80</f>
        <v>25</v>
      </c>
    </row>
    <row r="210" spans="1:16">
      <c r="B210" t="s">
        <v>113</v>
      </c>
      <c r="C210" s="2">
        <f>Prev_Pop_Initialisation!C81</f>
        <v>10</v>
      </c>
      <c r="D210" s="2">
        <f>Prev_Pop_Initialisation!D81</f>
        <v>25</v>
      </c>
    </row>
    <row r="211" spans="1:16">
      <c r="B211" t="s">
        <v>114</v>
      </c>
      <c r="C211" s="2">
        <f>Prev_Pop_Initialisation!C82</f>
        <v>10</v>
      </c>
      <c r="D211" s="2">
        <f>Prev_Pop_Initialisation!D82</f>
        <v>25</v>
      </c>
    </row>
    <row r="212" spans="1:16">
      <c r="B212" t="s">
        <v>115</v>
      </c>
      <c r="C212" s="2">
        <f>Prev_Pop_Initialisation!C83</f>
        <v>10</v>
      </c>
      <c r="D212" s="2">
        <f>Prev_Pop_Initialisation!D83</f>
        <v>25</v>
      </c>
    </row>
    <row r="213" spans="1:16">
      <c r="B213" t="s">
        <v>116</v>
      </c>
      <c r="C213" s="2">
        <f>Prev_Pop_Initialisation!C84</f>
        <v>10</v>
      </c>
      <c r="D213" s="2">
        <f>Prev_Pop_Initialisation!D84</f>
        <v>25</v>
      </c>
      <c r="F213">
        <f>SUM(C202:C213)</f>
        <v>120</v>
      </c>
      <c r="G213">
        <f>SUM(D202:D213)</f>
        <v>300</v>
      </c>
    </row>
    <row r="214" spans="1:16">
      <c r="B214" t="s">
        <v>140</v>
      </c>
      <c r="C214">
        <f>SUM(C132:C213)</f>
        <v>372</v>
      </c>
      <c r="D214">
        <f>SUM(D132:D213)</f>
        <v>864</v>
      </c>
    </row>
    <row r="215" spans="1:16" ht="14.4" hidden="1" customHeight="1">
      <c r="A215" s="1" t="s">
        <v>58</v>
      </c>
    </row>
    <row r="216" spans="1:16" ht="14.4" hidden="1" customHeight="1">
      <c r="A216" t="e">
        <f>#REF!</f>
        <v>#REF!</v>
      </c>
      <c r="B216" s="46" t="e">
        <f>#REF!</f>
        <v>#REF!</v>
      </c>
      <c r="C216" s="46" t="e">
        <f>#REF!</f>
        <v>#REF!</v>
      </c>
      <c r="D216" s="46" t="e">
        <f>#REF!</f>
        <v>#REF!</v>
      </c>
      <c r="E216" s="46" t="e">
        <f>#REF!</f>
        <v>#REF!</v>
      </c>
      <c r="F216" s="46" t="e">
        <f>#REF!</f>
        <v>#REF!</v>
      </c>
      <c r="G216" s="46" t="e">
        <f>#REF!</f>
        <v>#REF!</v>
      </c>
      <c r="I216" t="e">
        <f>#REF!</f>
        <v>#REF!</v>
      </c>
      <c r="J216" s="46" t="s">
        <v>141</v>
      </c>
      <c r="K216" s="46" t="e">
        <f>#REF!</f>
        <v>#REF!</v>
      </c>
      <c r="M216" s="46" t="e">
        <f>#REF!</f>
        <v>#REF!</v>
      </c>
      <c r="N216" s="46" t="e">
        <f>#REF!</f>
        <v>#REF!</v>
      </c>
      <c r="O216" s="46" t="e">
        <f>#REF!</f>
        <v>#REF!</v>
      </c>
      <c r="P216" s="46" t="e">
        <f>#REF!</f>
        <v>#REF!</v>
      </c>
    </row>
    <row r="217" spans="1:16" ht="14.4" hidden="1" customHeight="1">
      <c r="A217">
        <v>2009</v>
      </c>
    </row>
    <row r="218" spans="1:16" ht="14.4" hidden="1" customHeight="1">
      <c r="A218" t="e">
        <f>#REF!</f>
        <v>#REF!</v>
      </c>
      <c r="B218" s="49"/>
      <c r="C218" s="49"/>
      <c r="D218" s="49"/>
      <c r="E218" s="49"/>
      <c r="F218" s="49"/>
      <c r="G218" s="49"/>
    </row>
    <row r="219" spans="1:16" ht="14.4" hidden="1" customHeight="1">
      <c r="A219" t="e">
        <f>#REF!</f>
        <v>#REF!</v>
      </c>
      <c r="B219" s="49"/>
      <c r="C219" s="49"/>
      <c r="D219" s="49"/>
      <c r="E219" s="49"/>
      <c r="F219" s="49"/>
      <c r="G219" s="49"/>
    </row>
    <row r="220" spans="1:16" ht="14.4" hidden="1" customHeight="1">
      <c r="A220" t="e">
        <f>#REF!</f>
        <v>#REF!</v>
      </c>
      <c r="B220" s="49"/>
      <c r="C220" s="49"/>
      <c r="D220" s="49"/>
      <c r="E220" s="49"/>
      <c r="F220" s="49"/>
      <c r="G220" s="49"/>
    </row>
    <row r="221" spans="1:16" ht="14.4" hidden="1" customHeight="1">
      <c r="A221" t="e">
        <f>#REF!</f>
        <v>#REF!</v>
      </c>
      <c r="B221" s="49"/>
      <c r="C221" s="49"/>
      <c r="D221" s="49"/>
      <c r="E221" s="49"/>
      <c r="F221" s="49"/>
      <c r="G221" s="49"/>
    </row>
    <row r="222" spans="1:16" ht="14.4" hidden="1" customHeight="1">
      <c r="A222" t="e">
        <f>#REF!</f>
        <v>#REF!</v>
      </c>
      <c r="B222" s="49"/>
      <c r="C222" s="49"/>
      <c r="D222" s="49"/>
      <c r="E222" s="49"/>
      <c r="F222" s="49"/>
      <c r="G222" s="49"/>
    </row>
    <row r="223" spans="1:16" ht="14.4" hidden="1" customHeight="1">
      <c r="A223" t="e">
        <f>#REF!</f>
        <v>#REF!</v>
      </c>
      <c r="B223" s="49"/>
      <c r="C223" s="49"/>
      <c r="D223" s="49"/>
      <c r="E223" s="49"/>
      <c r="F223" s="49"/>
      <c r="G223" s="49"/>
    </row>
    <row r="224" spans="1:16" ht="14.4" hidden="1" customHeight="1">
      <c r="A224" t="e">
        <f>#REF!</f>
        <v>#REF!</v>
      </c>
      <c r="B224" s="49"/>
      <c r="C224" s="49"/>
      <c r="D224" s="49"/>
      <c r="E224" s="49"/>
      <c r="F224" s="49"/>
      <c r="G224" s="49"/>
    </row>
    <row r="225" spans="1:7" ht="14.4" hidden="1" customHeight="1">
      <c r="A225" t="e">
        <f>#REF!</f>
        <v>#REF!</v>
      </c>
      <c r="B225" s="49"/>
      <c r="C225" s="49"/>
      <c r="D225" s="49"/>
      <c r="E225" s="49"/>
      <c r="F225" s="49"/>
      <c r="G225" s="49"/>
    </row>
    <row r="226" spans="1:7" ht="14.4" hidden="1" customHeight="1">
      <c r="A226" t="e">
        <f>#REF!</f>
        <v>#REF!</v>
      </c>
      <c r="B226" s="49"/>
      <c r="C226" s="49"/>
      <c r="D226" s="49"/>
      <c r="E226" s="49"/>
      <c r="F226" s="49"/>
      <c r="G226" s="49"/>
    </row>
    <row r="227" spans="1:7" ht="14.4" hidden="1" customHeight="1">
      <c r="A227" t="e">
        <f>#REF!</f>
        <v>#REF!</v>
      </c>
      <c r="B227" s="49"/>
      <c r="C227" s="49"/>
      <c r="D227" s="49"/>
      <c r="E227" s="49"/>
      <c r="F227" s="49"/>
      <c r="G227" s="49"/>
    </row>
    <row r="228" spans="1:7" ht="14.4" hidden="1" customHeight="1">
      <c r="A228" t="e">
        <f>#REF!</f>
        <v>#REF!</v>
      </c>
      <c r="B228" s="49"/>
      <c r="C228" s="49"/>
      <c r="D228" s="49"/>
      <c r="E228" s="49"/>
      <c r="F228" s="49"/>
      <c r="G228" s="49"/>
    </row>
    <row r="229" spans="1:7" ht="14.4" hidden="1" customHeight="1">
      <c r="A229" t="e">
        <f>#REF!</f>
        <v>#REF!</v>
      </c>
      <c r="B229" s="49"/>
      <c r="C229" s="49"/>
      <c r="D229" s="49"/>
      <c r="E229" s="49"/>
      <c r="F229" s="49"/>
      <c r="G229" s="49"/>
    </row>
    <row r="230" spans="1:7" hidden="1">
      <c r="A230" t="e">
        <f>#REF!</f>
        <v>#REF!</v>
      </c>
      <c r="B230" s="49"/>
      <c r="C230" s="49"/>
      <c r="D230" s="49"/>
      <c r="E230" s="49"/>
      <c r="F230" s="49"/>
      <c r="G230" s="49"/>
    </row>
    <row r="231" spans="1:7" hidden="1"/>
    <row r="234" spans="1:7">
      <c r="A234" s="1" t="s">
        <v>59</v>
      </c>
    </row>
    <row r="235" spans="1:7" ht="15" thickBot="1">
      <c r="A235" t="s">
        <v>151</v>
      </c>
    </row>
    <row r="236" spans="1:7">
      <c r="A236" s="57" t="s">
        <v>158</v>
      </c>
      <c r="B236" s="2">
        <v>1</v>
      </c>
    </row>
    <row r="237" spans="1:7" ht="15" thickBot="1">
      <c r="A237" s="58" t="s">
        <v>139</v>
      </c>
      <c r="B237" s="2">
        <v>1</v>
      </c>
    </row>
    <row r="238" spans="1:7" hidden="1">
      <c r="B238" s="48"/>
    </row>
    <row r="239" spans="1:7" ht="15" thickBot="1">
      <c r="A239" t="s">
        <v>152</v>
      </c>
      <c r="B239" s="1" t="s">
        <v>159</v>
      </c>
      <c r="C239" s="1" t="s">
        <v>160</v>
      </c>
    </row>
    <row r="240" spans="1:7">
      <c r="A240" s="50" t="s">
        <v>148</v>
      </c>
      <c r="B240" s="2">
        <v>1</v>
      </c>
      <c r="C240" s="2">
        <v>1</v>
      </c>
    </row>
    <row r="241" spans="1:15">
      <c r="A241" s="51" t="s">
        <v>149</v>
      </c>
      <c r="B241" s="2">
        <v>1</v>
      </c>
      <c r="C241" s="2">
        <v>1</v>
      </c>
    </row>
    <row r="242" spans="1:15" ht="15" thickBot="1">
      <c r="A242" s="52" t="s">
        <v>150</v>
      </c>
      <c r="B242" s="2">
        <v>1</v>
      </c>
      <c r="C242" s="2">
        <v>1</v>
      </c>
    </row>
    <row r="244" spans="1:15" hidden="1">
      <c r="A244" t="s">
        <v>151</v>
      </c>
    </row>
    <row r="245" spans="1:15" hidden="1">
      <c r="A245" t="s">
        <v>153</v>
      </c>
      <c r="B245" s="48">
        <v>1</v>
      </c>
      <c r="C245" t="s">
        <v>157</v>
      </c>
    </row>
    <row r="246" spans="1:15" hidden="1">
      <c r="A246" t="s">
        <v>154</v>
      </c>
      <c r="B246" s="48">
        <v>1</v>
      </c>
      <c r="C246" t="s">
        <v>157</v>
      </c>
    </row>
    <row r="247" spans="1:15" ht="15" thickBot="1">
      <c r="A247" t="s">
        <v>155</v>
      </c>
      <c r="B247" s="1" t="s">
        <v>159</v>
      </c>
      <c r="C247" s="1" t="s">
        <v>160</v>
      </c>
    </row>
    <row r="248" spans="1:15">
      <c r="A248" s="50" t="s">
        <v>153</v>
      </c>
      <c r="B248" s="2">
        <v>1</v>
      </c>
      <c r="C248" s="2">
        <v>1</v>
      </c>
    </row>
    <row r="249" spans="1:15" ht="15" thickBot="1">
      <c r="A249" s="52" t="s">
        <v>154</v>
      </c>
      <c r="B249" s="2">
        <v>1</v>
      </c>
      <c r="C249" s="2">
        <v>1</v>
      </c>
    </row>
    <row r="251" spans="1:15" ht="15" thickBot="1">
      <c r="A251" t="s">
        <v>156</v>
      </c>
      <c r="B251" s="1" t="s">
        <v>159</v>
      </c>
      <c r="C251" s="1" t="s">
        <v>160</v>
      </c>
    </row>
    <row r="252" spans="1:15">
      <c r="A252" s="50" t="s">
        <v>153</v>
      </c>
      <c r="B252" s="2">
        <v>1</v>
      </c>
      <c r="C252" s="2">
        <v>1</v>
      </c>
    </row>
    <row r="253" spans="1:15" ht="15" thickBot="1">
      <c r="A253" s="52" t="s">
        <v>154</v>
      </c>
      <c r="B253" s="2">
        <v>1</v>
      </c>
      <c r="C253" s="2">
        <v>1</v>
      </c>
    </row>
    <row r="256" spans="1:15">
      <c r="A256" s="45" t="s">
        <v>180</v>
      </c>
      <c r="B256" t="s">
        <v>181</v>
      </c>
      <c r="C256">
        <v>1</v>
      </c>
      <c r="D256">
        <v>2</v>
      </c>
      <c r="E256">
        <v>3</v>
      </c>
      <c r="F256">
        <v>4</v>
      </c>
      <c r="G256">
        <v>5</v>
      </c>
      <c r="H256">
        <v>6</v>
      </c>
      <c r="I256">
        <v>7</v>
      </c>
      <c r="J256">
        <v>8</v>
      </c>
      <c r="K256">
        <v>9</v>
      </c>
      <c r="L256">
        <v>10</v>
      </c>
      <c r="M256">
        <v>11</v>
      </c>
      <c r="N256">
        <v>12</v>
      </c>
      <c r="O256">
        <v>13</v>
      </c>
    </row>
    <row r="257" spans="2:15">
      <c r="B257" s="54">
        <f>G171/SUM(G157,G171,G185)</f>
        <v>0.1891891891891892</v>
      </c>
      <c r="C257" s="2">
        <f>IF('Scenario Inputs'!I49="",-1,'Scenario Inputs'!I51)</f>
        <v>-1</v>
      </c>
      <c r="D257" s="2">
        <f>IF('Scenario Inputs'!J49="",-1,'Scenario Inputs'!J51)</f>
        <v>-1</v>
      </c>
      <c r="E257" s="2">
        <f>IF('Scenario Inputs'!K49="",-1,'Scenario Inputs'!K51)</f>
        <v>-1</v>
      </c>
      <c r="F257" s="2">
        <f>IF('Scenario Inputs'!L49="",-1,'Scenario Inputs'!L51)</f>
        <v>-1</v>
      </c>
      <c r="G257" s="2">
        <f>IF('Scenario Inputs'!M49="",-1,'Scenario Inputs'!M51)</f>
        <v>-1</v>
      </c>
      <c r="H257" s="2">
        <f>IF('Scenario Inputs'!N49="",-1,'Scenario Inputs'!N51)</f>
        <v>-1</v>
      </c>
      <c r="I257" s="2">
        <f>IF('Scenario Inputs'!O49="",-1,'Scenario Inputs'!O51)</f>
        <v>-1</v>
      </c>
      <c r="J257" s="2">
        <f>IF('Scenario Inputs'!P49="",-1,'Scenario Inputs'!P51)</f>
        <v>-1</v>
      </c>
      <c r="K257" s="2">
        <f>IF('Scenario Inputs'!Q49="",-1,'Scenario Inputs'!Q51)</f>
        <v>-1</v>
      </c>
      <c r="L257" s="2">
        <f>IF('Scenario Inputs'!R49="",-1,'Scenario Inputs'!R51)</f>
        <v>-1</v>
      </c>
      <c r="M257" s="2">
        <f>IF('Scenario Inputs'!S49="",-1,'Scenario Inputs'!S51)</f>
        <v>-1</v>
      </c>
      <c r="N257" s="2">
        <f>IF('Scenario Inputs'!T49="",-1,'Scenario Inputs'!T51)</f>
        <v>-1</v>
      </c>
      <c r="O257" s="2">
        <f>IF('Scenario Inputs'!U49="",-1,'Scenario Inputs'!U51)</f>
        <v>-1</v>
      </c>
    </row>
  </sheetData>
  <mergeCells count="6">
    <mergeCell ref="Q108:R108"/>
    <mergeCell ref="C104:E104"/>
    <mergeCell ref="P45:AB45"/>
    <mergeCell ref="C45:O45"/>
    <mergeCell ref="B14:N14"/>
    <mergeCell ref="B19:N19"/>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26AAC-C2EF-4697-B950-9006F5F0C085}">
  <sheetPr codeName="Sheet7">
    <tabColor theme="3"/>
  </sheetPr>
  <dimension ref="C14:AJ118"/>
  <sheetViews>
    <sheetView showGridLines="0" tabSelected="1" topLeftCell="A63" zoomScale="70" zoomScaleNormal="70" workbookViewId="0">
      <selection activeCell="J110" sqref="J110"/>
    </sheetView>
  </sheetViews>
  <sheetFormatPr defaultColWidth="9.6640625" defaultRowHeight="15"/>
  <cols>
    <col min="1" max="3" width="10.109375" style="9" customWidth="1"/>
    <col min="4" max="4" width="16.5546875" style="9" customWidth="1"/>
    <col min="5" max="5" width="23.109375" style="9" customWidth="1"/>
    <col min="6" max="6" width="14.44140625" style="9" customWidth="1"/>
    <col min="7" max="7" width="14.88671875" style="9" customWidth="1"/>
    <col min="8" max="8" width="45.33203125" style="9" customWidth="1"/>
    <col min="9" max="12" width="10.109375" style="9" customWidth="1"/>
    <col min="13" max="13" width="10.6640625" style="9" customWidth="1"/>
    <col min="14" max="14" width="13.33203125" style="9" customWidth="1"/>
    <col min="15" max="15" width="10.109375" style="9" customWidth="1"/>
    <col min="16" max="16" width="10.33203125" style="9" customWidth="1"/>
    <col min="17" max="24" width="10.109375" style="9" customWidth="1"/>
    <col min="25" max="27" width="10.109375" style="9" hidden="1" customWidth="1"/>
    <col min="28" max="37" width="0" style="9" hidden="1" customWidth="1"/>
    <col min="38" max="16384" width="9.6640625" style="9"/>
  </cols>
  <sheetData>
    <row r="14" spans="3:24" ht="24.6">
      <c r="C14" s="7" t="s">
        <v>0</v>
      </c>
      <c r="D14" s="8"/>
      <c r="E14" s="8"/>
      <c r="F14" s="8"/>
      <c r="G14" s="8"/>
      <c r="H14" s="8"/>
      <c r="I14" s="8"/>
      <c r="J14" s="8"/>
      <c r="K14" s="8"/>
      <c r="L14" s="8"/>
      <c r="M14" s="8"/>
      <c r="N14" s="8"/>
      <c r="O14" s="8"/>
      <c r="P14" s="8"/>
      <c r="Q14" s="8"/>
      <c r="R14" s="8"/>
      <c r="S14" s="8"/>
      <c r="T14" s="8"/>
      <c r="U14" s="8"/>
      <c r="V14" s="8"/>
      <c r="W14" s="8"/>
      <c r="X14" s="8"/>
    </row>
    <row r="16" spans="3:24" ht="19.2">
      <c r="C16" s="108" t="s">
        <v>1</v>
      </c>
      <c r="D16" s="10"/>
      <c r="E16" s="10"/>
      <c r="F16" s="10"/>
      <c r="G16" s="10"/>
      <c r="H16" s="10"/>
      <c r="I16" s="10"/>
      <c r="J16" s="10"/>
      <c r="K16" s="10"/>
      <c r="L16" s="10"/>
      <c r="M16" s="6"/>
      <c r="N16" s="108" t="s">
        <v>2</v>
      </c>
      <c r="O16" s="10"/>
      <c r="P16" s="10"/>
      <c r="Q16" s="10"/>
      <c r="R16" s="10"/>
      <c r="S16" s="10"/>
      <c r="T16" s="10"/>
      <c r="U16" s="10"/>
      <c r="V16" s="10"/>
      <c r="W16" s="10"/>
      <c r="X16" s="10"/>
    </row>
    <row r="17" spans="3:24" ht="7.95" customHeight="1">
      <c r="C17" s="6"/>
      <c r="D17" s="6"/>
      <c r="E17" s="6"/>
      <c r="F17" s="6"/>
      <c r="G17" s="6"/>
      <c r="H17" s="6"/>
      <c r="I17" s="6"/>
      <c r="J17" s="6"/>
      <c r="K17" s="6"/>
      <c r="L17" s="6"/>
      <c r="M17" s="6"/>
      <c r="N17" s="6"/>
      <c r="O17" s="6"/>
      <c r="P17" s="6"/>
      <c r="Q17" s="6"/>
      <c r="R17" s="6"/>
      <c r="S17" s="6"/>
      <c r="T17" s="6"/>
      <c r="U17" s="6"/>
      <c r="V17" s="6"/>
      <c r="W17" s="6"/>
      <c r="X17" s="6"/>
    </row>
    <row r="18" spans="3:24" s="117" customFormat="1" ht="58.95" customHeight="1">
      <c r="C18" s="127" t="s">
        <v>3</v>
      </c>
      <c r="D18" s="160"/>
      <c r="E18" s="160"/>
      <c r="F18" s="160"/>
      <c r="G18" s="160"/>
      <c r="H18" s="160"/>
      <c r="I18" s="160"/>
      <c r="J18" s="160"/>
      <c r="K18" s="160"/>
      <c r="L18" s="160"/>
      <c r="M18" s="118"/>
      <c r="N18" s="127" t="s">
        <v>68</v>
      </c>
      <c r="O18" s="127"/>
      <c r="P18" s="127"/>
      <c r="Q18" s="127"/>
      <c r="R18" s="127"/>
      <c r="S18" s="127"/>
      <c r="T18" s="127"/>
      <c r="U18" s="127"/>
      <c r="V18" s="127"/>
      <c r="W18" s="127"/>
      <c r="X18" s="127"/>
    </row>
    <row r="19" spans="3:24" s="119" customFormat="1" ht="6.6" customHeight="1">
      <c r="C19" s="107"/>
      <c r="D19" s="107"/>
      <c r="E19" s="107"/>
      <c r="F19" s="107"/>
      <c r="G19" s="107"/>
      <c r="H19" s="107"/>
      <c r="I19" s="107"/>
      <c r="J19" s="107"/>
      <c r="K19" s="107"/>
      <c r="L19" s="107"/>
      <c r="M19" s="107"/>
      <c r="N19" s="120"/>
      <c r="O19" s="107"/>
      <c r="P19" s="107"/>
      <c r="Q19" s="107"/>
      <c r="R19" s="107"/>
      <c r="S19" s="107"/>
      <c r="T19" s="107"/>
      <c r="U19" s="107"/>
      <c r="V19" s="107"/>
      <c r="W19" s="107"/>
      <c r="X19" s="107"/>
    </row>
    <row r="20" spans="3:24" ht="16.8">
      <c r="C20" s="6" t="s">
        <v>4</v>
      </c>
      <c r="D20" s="6"/>
      <c r="E20" s="6"/>
      <c r="F20" s="154" t="s">
        <v>162</v>
      </c>
      <c r="G20" s="154"/>
      <c r="H20" s="154"/>
      <c r="I20" s="154"/>
      <c r="J20" s="154"/>
      <c r="K20" s="154"/>
      <c r="L20" s="154"/>
      <c r="M20" s="6"/>
      <c r="N20" s="11"/>
      <c r="O20" s="11"/>
      <c r="P20" s="11"/>
      <c r="Q20" s="11"/>
      <c r="R20" s="161"/>
      <c r="S20" s="161"/>
      <c r="T20" s="161"/>
      <c r="U20" s="161"/>
      <c r="V20" s="161"/>
      <c r="W20" s="161"/>
      <c r="X20" s="161"/>
    </row>
    <row r="21" spans="3:24" ht="16.8">
      <c r="C21" s="6" t="s">
        <v>5</v>
      </c>
      <c r="D21" s="6"/>
      <c r="E21" s="6"/>
      <c r="F21" s="154" t="s">
        <v>163</v>
      </c>
      <c r="G21" s="154"/>
      <c r="H21" s="154"/>
      <c r="I21" s="154"/>
      <c r="J21" s="154"/>
      <c r="K21" s="154"/>
      <c r="L21" s="154"/>
      <c r="M21" s="6"/>
      <c r="N21" s="6" t="s">
        <v>6</v>
      </c>
      <c r="O21" s="6"/>
      <c r="P21" s="6"/>
      <c r="Q21" s="6"/>
      <c r="R21" s="162">
        <v>2023</v>
      </c>
      <c r="S21" s="163"/>
      <c r="T21" s="163"/>
      <c r="U21" s="163"/>
      <c r="V21" s="163"/>
      <c r="W21" s="163"/>
      <c r="X21" s="164"/>
    </row>
    <row r="22" spans="3:24" ht="16.95" hidden="1" customHeight="1">
      <c r="C22" s="6" t="s">
        <v>7</v>
      </c>
      <c r="D22" s="6"/>
      <c r="E22" s="6"/>
      <c r="F22" s="154" t="s">
        <v>8</v>
      </c>
      <c r="G22" s="154"/>
      <c r="H22" s="154"/>
      <c r="I22" s="154"/>
      <c r="J22" s="154"/>
      <c r="K22" s="154"/>
      <c r="L22" s="154"/>
      <c r="M22" s="6"/>
    </row>
    <row r="23" spans="3:24" ht="16.8">
      <c r="C23" s="6" t="s">
        <v>9</v>
      </c>
      <c r="D23" s="6"/>
      <c r="E23" s="6"/>
      <c r="F23" s="154" t="s">
        <v>10</v>
      </c>
      <c r="G23" s="154"/>
      <c r="H23" s="154"/>
      <c r="I23" s="154"/>
      <c r="J23" s="154"/>
      <c r="K23" s="154"/>
      <c r="L23" s="154"/>
      <c r="M23" s="6"/>
      <c r="N23" s="6" t="s">
        <v>11</v>
      </c>
      <c r="O23" s="6"/>
      <c r="P23" s="6"/>
      <c r="Q23" s="6"/>
      <c r="R23" s="155">
        <v>2035</v>
      </c>
      <c r="S23" s="156"/>
      <c r="T23" s="156"/>
      <c r="U23" s="156"/>
      <c r="V23" s="156"/>
      <c r="W23" s="156"/>
      <c r="X23" s="157"/>
    </row>
    <row r="24" spans="3:24" ht="16.8">
      <c r="C24" s="103"/>
      <c r="D24" s="103"/>
      <c r="E24" s="104"/>
      <c r="F24" s="103"/>
      <c r="G24" s="105"/>
      <c r="H24" s="103"/>
      <c r="I24" s="105"/>
      <c r="J24" s="105"/>
      <c r="K24" s="105"/>
      <c r="L24" s="105"/>
      <c r="M24" s="6"/>
      <c r="N24" s="6"/>
      <c r="O24" s="6"/>
      <c r="P24" s="6"/>
      <c r="Q24" s="6"/>
      <c r="R24" s="106"/>
      <c r="S24" s="106"/>
      <c r="T24" s="106"/>
      <c r="U24" s="106"/>
      <c r="V24" s="106"/>
      <c r="W24" s="106"/>
      <c r="X24" s="106"/>
    </row>
    <row r="25" spans="3:24" ht="16.95" hidden="1" customHeight="1">
      <c r="C25" s="6"/>
      <c r="D25" s="6"/>
      <c r="E25" s="6"/>
      <c r="G25" s="6"/>
      <c r="H25" s="6"/>
      <c r="I25" s="107"/>
      <c r="J25" s="107"/>
      <c r="K25" s="107"/>
      <c r="L25" s="107"/>
      <c r="M25" s="6"/>
      <c r="N25" s="108" t="s">
        <v>12</v>
      </c>
      <c r="O25" s="10"/>
      <c r="P25" s="10"/>
      <c r="Q25" s="10"/>
      <c r="R25" s="10"/>
      <c r="S25" s="8"/>
      <c r="T25" s="152" t="s">
        <v>13</v>
      </c>
      <c r="U25" s="152"/>
      <c r="V25" s="158" t="s">
        <v>14</v>
      </c>
      <c r="W25" s="159"/>
      <c r="X25" s="159"/>
    </row>
    <row r="26" spans="3:24" ht="16.95" hidden="1" customHeight="1">
      <c r="C26" s="6"/>
      <c r="D26" s="6"/>
      <c r="E26" s="6"/>
      <c r="G26" s="6"/>
      <c r="H26" s="6"/>
      <c r="I26" s="6"/>
      <c r="J26" s="6"/>
      <c r="K26" s="6"/>
      <c r="L26" s="6"/>
      <c r="M26" s="6"/>
      <c r="N26" s="6" t="str">
        <f>C49</f>
        <v>Change in % allocated to HHD</v>
      </c>
      <c r="O26" s="6"/>
      <c r="P26" s="6"/>
      <c r="Q26" s="6"/>
      <c r="R26" s="6"/>
      <c r="T26" s="166">
        <f>G49</f>
        <v>0.1891891891891892</v>
      </c>
      <c r="U26" s="167"/>
      <c r="V26" s="168">
        <f>K49</f>
        <v>0</v>
      </c>
      <c r="W26" s="169"/>
      <c r="X26" s="170"/>
    </row>
    <row r="27" spans="3:24" ht="16.95" hidden="1" customHeight="1">
      <c r="C27" s="6"/>
      <c r="D27" s="6"/>
      <c r="E27" s="6"/>
      <c r="F27" s="6"/>
      <c r="G27" s="6"/>
      <c r="H27" s="6"/>
      <c r="I27" s="6"/>
      <c r="J27" s="6"/>
      <c r="K27" s="6"/>
      <c r="L27" s="6"/>
      <c r="M27" s="6"/>
      <c r="N27" s="6" t="str">
        <f>C52</f>
        <v>Change in % initially allocated to PD</v>
      </c>
      <c r="O27" s="6"/>
      <c r="P27" s="6"/>
      <c r="Q27" s="6"/>
      <c r="R27" s="6"/>
      <c r="T27" s="166">
        <f>G52</f>
        <v>0.28999999999999998</v>
      </c>
      <c r="U27" s="167"/>
      <c r="V27" s="168">
        <f>K52</f>
        <v>0</v>
      </c>
      <c r="W27" s="169"/>
      <c r="X27" s="170"/>
    </row>
    <row r="28" spans="3:24" ht="16.95" hidden="1" customHeight="1">
      <c r="C28" s="6"/>
      <c r="D28" s="6"/>
      <c r="E28" s="6"/>
      <c r="F28" s="6"/>
      <c r="G28" s="6"/>
      <c r="H28" s="6"/>
      <c r="I28" s="6"/>
      <c r="J28" s="6"/>
      <c r="K28" s="6"/>
      <c r="L28" s="6"/>
      <c r="M28" s="6"/>
      <c r="N28" s="6" t="e">
        <f>#REF!</f>
        <v>#REF!</v>
      </c>
      <c r="O28" s="6"/>
      <c r="P28" s="6"/>
      <c r="Q28" s="6"/>
      <c r="R28" s="6"/>
      <c r="T28" s="166" t="e">
        <f>#REF!</f>
        <v>#REF!</v>
      </c>
      <c r="U28" s="167"/>
      <c r="V28" s="168" t="e">
        <f>#REF!</f>
        <v>#REF!</v>
      </c>
      <c r="W28" s="169"/>
      <c r="X28" s="170"/>
    </row>
    <row r="29" spans="3:24" ht="16.95" hidden="1" customHeight="1">
      <c r="C29" s="6"/>
      <c r="D29" s="6"/>
      <c r="E29" s="6"/>
      <c r="F29" s="6"/>
      <c r="G29" s="6"/>
      <c r="H29" s="6"/>
      <c r="I29" s="6"/>
      <c r="J29" s="6"/>
      <c r="K29" s="6"/>
      <c r="L29" s="6"/>
      <c r="M29" s="6"/>
      <c r="N29" s="6" t="e">
        <f>#REF!</f>
        <v>#REF!</v>
      </c>
      <c r="O29" s="6"/>
      <c r="P29" s="6"/>
      <c r="Q29" s="6"/>
      <c r="R29" s="6"/>
      <c r="T29" s="166" t="e">
        <f>#REF!</f>
        <v>#REF!</v>
      </c>
      <c r="U29" s="167"/>
      <c r="V29" s="168" t="e">
        <f>#REF!</f>
        <v>#REF!</v>
      </c>
      <c r="W29" s="169"/>
      <c r="X29" s="170"/>
    </row>
    <row r="30" spans="3:24" ht="16.95" hidden="1" customHeight="1">
      <c r="C30" s="6"/>
      <c r="D30" s="6"/>
      <c r="E30" s="6"/>
      <c r="F30" s="6"/>
      <c r="G30" s="6"/>
      <c r="H30" s="6"/>
      <c r="I30" s="6"/>
      <c r="J30" s="6"/>
      <c r="K30" s="6"/>
      <c r="L30" s="6"/>
      <c r="M30" s="6"/>
      <c r="N30" s="6" t="str">
        <f>C91</f>
        <v>Change to % of patients receiving a transplant</v>
      </c>
      <c r="O30" s="6"/>
      <c r="P30" s="6"/>
      <c r="Q30" s="6"/>
      <c r="R30" s="6"/>
      <c r="T30" s="166">
        <f>G91</f>
        <v>0.9</v>
      </c>
      <c r="U30" s="167"/>
      <c r="V30" s="168">
        <f>K91</f>
        <v>0</v>
      </c>
      <c r="W30" s="169"/>
      <c r="X30" s="170"/>
    </row>
    <row r="31" spans="3:24" ht="16.95" hidden="1" customHeight="1">
      <c r="C31" s="6"/>
      <c r="D31" s="6"/>
      <c r="E31" s="6"/>
      <c r="F31" s="6"/>
      <c r="G31" s="6"/>
      <c r="H31" s="6"/>
      <c r="I31" s="6"/>
      <c r="J31" s="6"/>
      <c r="K31" s="6"/>
      <c r="L31" s="6"/>
      <c r="M31" s="6"/>
      <c r="N31" s="6">
        <f>C94</f>
        <v>0</v>
      </c>
      <c r="O31" s="6"/>
      <c r="P31" s="6"/>
      <c r="Q31" s="6"/>
      <c r="R31" s="6"/>
      <c r="T31" s="171">
        <f>G94</f>
        <v>0.5</v>
      </c>
      <c r="U31" s="172"/>
      <c r="V31" s="173">
        <f>K94</f>
        <v>0</v>
      </c>
      <c r="W31" s="174"/>
      <c r="X31" s="175"/>
    </row>
    <row r="32" spans="3:24" ht="16.8" hidden="1">
      <c r="C32" s="6"/>
      <c r="D32" s="6"/>
      <c r="E32" s="6"/>
      <c r="F32" s="6"/>
      <c r="G32" s="6"/>
      <c r="H32" s="6"/>
      <c r="I32" s="6"/>
      <c r="J32" s="6"/>
      <c r="K32" s="6"/>
      <c r="L32" s="6"/>
      <c r="M32" s="6"/>
      <c r="N32" s="6"/>
      <c r="O32" s="6"/>
      <c r="P32" s="6"/>
      <c r="Q32" s="6"/>
      <c r="R32" s="6"/>
      <c r="T32" s="109"/>
      <c r="U32" s="110"/>
      <c r="V32" s="111"/>
      <c r="W32" s="111"/>
      <c r="X32" s="111"/>
    </row>
    <row r="33" spans="3:36" ht="24.6" hidden="1">
      <c r="C33" s="7" t="s">
        <v>124</v>
      </c>
      <c r="D33" s="10"/>
      <c r="E33" s="10"/>
      <c r="F33" s="10"/>
      <c r="G33" s="10"/>
      <c r="H33" s="10"/>
      <c r="I33" s="10"/>
      <c r="J33" s="10"/>
      <c r="K33" s="10"/>
      <c r="L33" s="10"/>
      <c r="M33" s="10"/>
      <c r="N33" s="10"/>
      <c r="O33" s="10"/>
      <c r="P33" s="10"/>
      <c r="Q33" s="10"/>
      <c r="R33" s="10"/>
      <c r="S33" s="10"/>
      <c r="T33" s="10"/>
      <c r="U33" s="10"/>
      <c r="V33" s="10"/>
      <c r="W33" s="10"/>
      <c r="X33" s="10"/>
    </row>
    <row r="34" spans="3:36" ht="16.8" hidden="1">
      <c r="C34" s="6"/>
      <c r="D34" s="6"/>
      <c r="E34" s="6"/>
      <c r="F34" s="6"/>
      <c r="G34" s="6"/>
      <c r="H34" s="6"/>
      <c r="I34" s="6"/>
      <c r="J34" s="6"/>
      <c r="K34" s="6"/>
      <c r="L34" s="6"/>
      <c r="M34" s="6"/>
      <c r="N34" s="6"/>
      <c r="O34" s="6"/>
      <c r="P34" s="6"/>
      <c r="Q34" s="6"/>
      <c r="R34" s="6"/>
      <c r="T34" s="109"/>
      <c r="U34" s="110"/>
      <c r="V34" s="111"/>
      <c r="W34" s="111"/>
      <c r="X34" s="111"/>
    </row>
    <row r="35" spans="3:36" ht="39.6" hidden="1" customHeight="1">
      <c r="C35" s="127" t="s">
        <v>127</v>
      </c>
      <c r="D35" s="127"/>
      <c r="E35" s="127"/>
      <c r="F35" s="127"/>
      <c r="G35" s="127"/>
      <c r="H35" s="127"/>
      <c r="I35" s="127"/>
      <c r="J35" s="127"/>
      <c r="K35" s="127"/>
      <c r="L35" s="127"/>
      <c r="M35" s="6"/>
      <c r="N35" s="6"/>
      <c r="O35" s="6"/>
      <c r="P35" s="6"/>
      <c r="Q35" s="6"/>
      <c r="R35" s="6"/>
      <c r="T35" s="109"/>
      <c r="U35" s="110"/>
      <c r="V35" s="111"/>
      <c r="W35" s="111"/>
      <c r="X35" s="111"/>
    </row>
    <row r="36" spans="3:36" ht="16.8" hidden="1" customHeight="1">
      <c r="C36" s="6"/>
      <c r="D36" s="6"/>
      <c r="E36" s="6"/>
      <c r="F36" s="6"/>
      <c r="G36" s="132" t="s">
        <v>125</v>
      </c>
      <c r="H36" s="132"/>
      <c r="I36" s="152" t="s">
        <v>53</v>
      </c>
      <c r="J36" s="152"/>
      <c r="K36" s="152"/>
      <c r="L36" s="152"/>
      <c r="M36" s="152"/>
      <c r="N36" s="152"/>
      <c r="O36" s="152"/>
      <c r="P36" s="152"/>
      <c r="Q36" s="152"/>
      <c r="R36" s="152"/>
      <c r="S36" s="152"/>
      <c r="T36" s="152"/>
      <c r="U36" s="152"/>
      <c r="V36" s="111"/>
      <c r="W36" s="111"/>
      <c r="X36" s="111"/>
    </row>
    <row r="37" spans="3:36" ht="16.95" hidden="1" customHeight="1">
      <c r="C37" s="6"/>
      <c r="D37" s="6"/>
      <c r="E37" s="6"/>
      <c r="F37" s="6"/>
      <c r="G37" s="133"/>
      <c r="H37" s="133"/>
      <c r="I37" s="112">
        <v>2023</v>
      </c>
      <c r="J37" s="112">
        <v>2024</v>
      </c>
      <c r="K37" s="112">
        <v>2025</v>
      </c>
      <c r="L37" s="112">
        <v>2026</v>
      </c>
      <c r="M37" s="112">
        <v>2027</v>
      </c>
      <c r="N37" s="112">
        <v>2028</v>
      </c>
      <c r="O37" s="112">
        <v>2029</v>
      </c>
      <c r="P37" s="112">
        <v>2030</v>
      </c>
      <c r="Q37" s="112">
        <v>2031</v>
      </c>
      <c r="R37" s="112">
        <v>2032</v>
      </c>
      <c r="S37" s="112">
        <v>2033</v>
      </c>
      <c r="T37" s="113">
        <v>2034</v>
      </c>
      <c r="U37" s="113">
        <v>2035</v>
      </c>
      <c r="V37" s="111"/>
      <c r="W37" s="111"/>
      <c r="X37" s="111"/>
    </row>
    <row r="38" spans="3:36" ht="16.8" hidden="1">
      <c r="C38" s="12" t="s">
        <v>124</v>
      </c>
      <c r="D38" s="12"/>
      <c r="E38" s="12"/>
      <c r="F38" s="12"/>
      <c r="G38" s="150">
        <v>1</v>
      </c>
      <c r="H38" s="151"/>
      <c r="I38" s="114"/>
      <c r="J38" s="114"/>
      <c r="K38" s="114"/>
      <c r="L38" s="114"/>
      <c r="M38" s="114"/>
      <c r="N38" s="114"/>
      <c r="O38" s="114"/>
      <c r="P38" s="114"/>
      <c r="Q38" s="114"/>
      <c r="R38" s="114"/>
      <c r="S38" s="114"/>
      <c r="T38" s="114"/>
      <c r="U38" s="114"/>
      <c r="V38" s="111"/>
      <c r="W38" s="111"/>
      <c r="X38" s="111"/>
    </row>
    <row r="39" spans="3:36" ht="16.8" hidden="1">
      <c r="C39" s="6"/>
      <c r="D39" s="6"/>
      <c r="E39" s="6"/>
      <c r="F39" s="6"/>
      <c r="G39" s="153" t="s">
        <v>166</v>
      </c>
      <c r="H39" s="153"/>
      <c r="I39" s="115">
        <f>daily_rate!N2</f>
        <v>0.5</v>
      </c>
      <c r="J39" s="115">
        <f>daily_rate!O2</f>
        <v>0.5</v>
      </c>
      <c r="K39" s="115">
        <f>daily_rate!P2</f>
        <v>0.5</v>
      </c>
      <c r="L39" s="115">
        <f>daily_rate!Q2</f>
        <v>0.5</v>
      </c>
      <c r="M39" s="115">
        <f>daily_rate!R2</f>
        <v>0.5</v>
      </c>
      <c r="N39" s="115">
        <f>daily_rate!S2</f>
        <v>0.5</v>
      </c>
      <c r="O39" s="115">
        <f>daily_rate!T2</f>
        <v>0.5</v>
      </c>
      <c r="P39" s="115">
        <f>daily_rate!U2</f>
        <v>0.5</v>
      </c>
      <c r="Q39" s="115">
        <f>daily_rate!V2</f>
        <v>0.5</v>
      </c>
      <c r="R39" s="115">
        <f>daily_rate!W2</f>
        <v>0.5</v>
      </c>
      <c r="S39" s="115">
        <f>daily_rate!X2</f>
        <v>0.5</v>
      </c>
      <c r="T39" s="115">
        <f>daily_rate!Y2</f>
        <v>0.5</v>
      </c>
      <c r="U39" s="115">
        <f>daily_rate!Z2</f>
        <v>0.5</v>
      </c>
      <c r="V39" s="111"/>
      <c r="W39" s="111"/>
      <c r="X39" s="111"/>
    </row>
    <row r="40" spans="3:36" ht="16.8" hidden="1">
      <c r="C40" s="6"/>
      <c r="D40" s="6"/>
      <c r="E40" s="6"/>
      <c r="F40" s="6"/>
      <c r="G40" s="131" t="s">
        <v>167</v>
      </c>
      <c r="H40" s="131"/>
      <c r="I40" s="116">
        <f>simPy_sheet!B6</f>
        <v>0.5</v>
      </c>
      <c r="J40" s="116">
        <f>simPy_sheet!C6</f>
        <v>0.5</v>
      </c>
      <c r="K40" s="116">
        <f>simPy_sheet!D6</f>
        <v>0.5</v>
      </c>
      <c r="L40" s="116">
        <f>simPy_sheet!E6</f>
        <v>0.5</v>
      </c>
      <c r="M40" s="116">
        <f>simPy_sheet!F6</f>
        <v>0.5</v>
      </c>
      <c r="N40" s="116">
        <f>simPy_sheet!G6</f>
        <v>0.5</v>
      </c>
      <c r="O40" s="116">
        <f>simPy_sheet!H6</f>
        <v>0.5</v>
      </c>
      <c r="P40" s="116">
        <f>simPy_sheet!I6</f>
        <v>0.5</v>
      </c>
      <c r="Q40" s="116">
        <f>simPy_sheet!J6</f>
        <v>0.5</v>
      </c>
      <c r="R40" s="116">
        <f>simPy_sheet!K6</f>
        <v>0.5</v>
      </c>
      <c r="S40" s="116">
        <f>simPy_sheet!L6</f>
        <v>0.5</v>
      </c>
      <c r="T40" s="116">
        <f>simPy_sheet!M6</f>
        <v>0.5</v>
      </c>
      <c r="U40" s="116">
        <f>simPy_sheet!N6</f>
        <v>0.5</v>
      </c>
      <c r="V40" s="111"/>
      <c r="W40" s="111"/>
      <c r="X40" s="111"/>
    </row>
    <row r="41" spans="3:36" ht="24.6">
      <c r="C41" s="7" t="s">
        <v>15</v>
      </c>
      <c r="D41" s="10"/>
      <c r="E41" s="10"/>
      <c r="F41" s="10"/>
      <c r="G41" s="10"/>
      <c r="H41" s="10"/>
      <c r="I41" s="10"/>
      <c r="J41" s="10"/>
      <c r="K41" s="10"/>
      <c r="L41" s="10"/>
      <c r="M41" s="10"/>
      <c r="N41" s="10"/>
      <c r="O41" s="10"/>
      <c r="P41" s="10"/>
      <c r="Q41" s="10"/>
      <c r="R41" s="10"/>
      <c r="S41" s="10"/>
      <c r="T41" s="10"/>
      <c r="U41" s="10"/>
      <c r="V41" s="10"/>
      <c r="W41" s="10"/>
      <c r="X41" s="10"/>
    </row>
    <row r="42" spans="3:36" ht="16.8">
      <c r="C42" s="6"/>
      <c r="D42" s="6"/>
      <c r="E42" s="6"/>
      <c r="F42" s="6"/>
      <c r="G42" s="6"/>
      <c r="H42" s="6"/>
      <c r="I42" s="6"/>
      <c r="J42" s="6"/>
      <c r="K42" s="6"/>
      <c r="L42" s="6"/>
      <c r="M42" s="6"/>
      <c r="N42" s="6"/>
      <c r="O42" s="6"/>
      <c r="P42" s="6"/>
      <c r="Q42" s="6"/>
      <c r="R42" s="6"/>
      <c r="S42" s="6"/>
      <c r="T42" s="6"/>
      <c r="U42" s="6"/>
      <c r="V42" s="6"/>
      <c r="W42" s="6"/>
      <c r="X42" s="6"/>
    </row>
    <row r="43" spans="3:36" ht="19.2">
      <c r="C43" s="19" t="s">
        <v>16</v>
      </c>
      <c r="D43" s="10"/>
      <c r="E43" s="10"/>
      <c r="F43" s="10"/>
      <c r="G43" s="10"/>
      <c r="H43" s="10"/>
      <c r="I43" s="10"/>
      <c r="J43" s="10"/>
      <c r="K43" s="10"/>
      <c r="L43" s="10"/>
      <c r="M43" s="6"/>
      <c r="Y43" s="108" t="s">
        <v>136</v>
      </c>
      <c r="Z43" s="10"/>
      <c r="AA43" s="10"/>
      <c r="AB43" s="10"/>
      <c r="AC43" s="10"/>
      <c r="AD43" s="10"/>
      <c r="AE43" s="10"/>
      <c r="AF43" s="10"/>
      <c r="AG43" s="10"/>
      <c r="AH43" s="10"/>
      <c r="AI43" s="10"/>
      <c r="AJ43" s="10"/>
    </row>
    <row r="44" spans="3:36" ht="5.4" customHeight="1">
      <c r="C44" s="6"/>
      <c r="D44" s="6"/>
      <c r="E44" s="6"/>
      <c r="F44" s="6"/>
      <c r="G44" s="6"/>
      <c r="H44" s="6"/>
      <c r="I44" s="6"/>
      <c r="J44" s="6"/>
      <c r="K44" s="6"/>
      <c r="L44" s="6"/>
      <c r="M44" s="6"/>
      <c r="Y44" s="6"/>
      <c r="Z44" s="6"/>
      <c r="AA44" s="6"/>
      <c r="AB44" s="6"/>
      <c r="AC44" s="6"/>
      <c r="AD44" s="6"/>
      <c r="AE44" s="6"/>
      <c r="AF44" s="6"/>
      <c r="AG44" s="6"/>
      <c r="AH44" s="6"/>
      <c r="AI44" s="6"/>
      <c r="AJ44" s="6"/>
    </row>
    <row r="45" spans="3:36" ht="39.6" customHeight="1">
      <c r="C45" s="127" t="s">
        <v>182</v>
      </c>
      <c r="D45" s="127"/>
      <c r="E45" s="127"/>
      <c r="F45" s="127"/>
      <c r="G45" s="127"/>
      <c r="H45" s="127"/>
      <c r="I45" s="127"/>
      <c r="J45" s="127"/>
      <c r="K45" s="127"/>
      <c r="L45" s="127"/>
      <c r="M45" s="97"/>
      <c r="Y45" s="127" t="s">
        <v>137</v>
      </c>
      <c r="Z45" s="127"/>
      <c r="AA45" s="127"/>
      <c r="AB45" s="127"/>
      <c r="AC45" s="127"/>
      <c r="AD45" s="127"/>
      <c r="AE45" s="127"/>
      <c r="AF45" s="127"/>
      <c r="AG45" s="127"/>
      <c r="AH45" s="127"/>
      <c r="AI45" s="127"/>
      <c r="AJ45" s="127"/>
    </row>
    <row r="46" spans="3:36" s="13" customFormat="1" ht="15" customHeight="1">
      <c r="C46" s="100"/>
      <c r="D46" s="100"/>
      <c r="E46" s="100"/>
      <c r="F46" s="100"/>
      <c r="G46" s="100"/>
      <c r="H46" s="100"/>
      <c r="I46" s="100"/>
      <c r="J46" s="100"/>
      <c r="K46" s="100"/>
      <c r="L46" s="100"/>
      <c r="M46" s="95"/>
    </row>
    <row r="47" spans="3:36" ht="16.8" customHeight="1">
      <c r="C47" s="6"/>
      <c r="D47" s="6"/>
      <c r="E47" s="6"/>
      <c r="F47" s="6"/>
      <c r="G47" s="132" t="s">
        <v>17</v>
      </c>
      <c r="H47" s="132"/>
      <c r="I47" s="128" t="s">
        <v>82</v>
      </c>
      <c r="J47" s="129"/>
      <c r="K47" s="129"/>
      <c r="L47" s="129"/>
      <c r="M47" s="129"/>
      <c r="N47" s="129"/>
      <c r="O47" s="129"/>
      <c r="P47" s="129"/>
      <c r="Q47" s="129"/>
      <c r="R47" s="129"/>
      <c r="S47" s="129"/>
      <c r="T47" s="129"/>
      <c r="U47" s="130"/>
      <c r="V47" s="6"/>
      <c r="W47" s="6"/>
      <c r="X47" s="6"/>
      <c r="Y47" s="16"/>
      <c r="Z47" s="16"/>
      <c r="AA47" s="16"/>
      <c r="AB47" s="16"/>
      <c r="AC47" s="16"/>
      <c r="AD47" s="16"/>
      <c r="AE47" s="16"/>
      <c r="AF47" s="16"/>
      <c r="AG47" s="16"/>
      <c r="AH47" s="16"/>
      <c r="AI47" s="16"/>
      <c r="AJ47" s="16"/>
    </row>
    <row r="48" spans="3:36" s="16" customFormat="1" ht="16.8" customHeight="1">
      <c r="C48" s="15"/>
      <c r="D48" s="15"/>
      <c r="E48" s="15"/>
      <c r="F48" s="15"/>
      <c r="G48" s="133"/>
      <c r="H48" s="133"/>
      <c r="I48">
        <f>R21</f>
        <v>2023</v>
      </c>
      <c r="J48">
        <f>I48+1</f>
        <v>2024</v>
      </c>
      <c r="K48">
        <f t="shared" ref="K48:U48" si="0">J48+1</f>
        <v>2025</v>
      </c>
      <c r="L48">
        <f t="shared" si="0"/>
        <v>2026</v>
      </c>
      <c r="M48">
        <f t="shared" si="0"/>
        <v>2027</v>
      </c>
      <c r="N48">
        <f t="shared" si="0"/>
        <v>2028</v>
      </c>
      <c r="O48">
        <f t="shared" si="0"/>
        <v>2029</v>
      </c>
      <c r="P48">
        <f t="shared" si="0"/>
        <v>2030</v>
      </c>
      <c r="Q48">
        <f t="shared" si="0"/>
        <v>2031</v>
      </c>
      <c r="R48">
        <f t="shared" si="0"/>
        <v>2032</v>
      </c>
      <c r="S48">
        <f t="shared" si="0"/>
        <v>2033</v>
      </c>
      <c r="T48">
        <f t="shared" si="0"/>
        <v>2034</v>
      </c>
      <c r="U48">
        <f t="shared" si="0"/>
        <v>2035</v>
      </c>
      <c r="V48" s="15"/>
      <c r="W48" s="15"/>
      <c r="X48" s="15"/>
      <c r="Y48" s="9"/>
      <c r="Z48" s="9"/>
      <c r="AA48" s="9"/>
      <c r="AB48" s="9"/>
      <c r="AC48" s="9"/>
      <c r="AD48" s="9"/>
      <c r="AE48" s="9"/>
      <c r="AF48" s="9"/>
      <c r="AG48" s="9"/>
      <c r="AH48" s="9"/>
      <c r="AI48" s="9"/>
      <c r="AJ48" s="9"/>
    </row>
    <row r="49" spans="3:24" ht="16.8">
      <c r="C49" s="12" t="s">
        <v>183</v>
      </c>
      <c r="D49" s="12"/>
      <c r="E49" s="12"/>
      <c r="F49" s="102"/>
      <c r="G49" s="123">
        <f>simPy_sheet!B257</f>
        <v>0.1891891891891892</v>
      </c>
      <c r="H49" s="124"/>
      <c r="I49" s="63"/>
      <c r="J49" s="63"/>
      <c r="K49" s="63"/>
      <c r="L49" s="63"/>
      <c r="M49" s="63"/>
      <c r="N49" s="63"/>
      <c r="O49" s="63"/>
      <c r="P49" s="63"/>
      <c r="Q49" s="63"/>
      <c r="R49" s="63"/>
      <c r="S49" s="63"/>
      <c r="T49" s="63"/>
      <c r="U49" s="63"/>
      <c r="V49" s="6"/>
      <c r="W49" s="6"/>
      <c r="X49" s="6"/>
    </row>
    <row r="50" spans="3:24" ht="16.8">
      <c r="C50" s="6"/>
      <c r="D50" s="6"/>
      <c r="E50" s="6"/>
      <c r="F50" s="6"/>
      <c r="G50" s="134" t="s">
        <v>168</v>
      </c>
      <c r="H50" s="134"/>
      <c r="I50" s="101">
        <f t="shared" ref="I50:U50" si="1">IncHHD</f>
        <v>0.1891891891891892</v>
      </c>
      <c r="J50" s="101">
        <f t="shared" si="1"/>
        <v>0.1891891891891892</v>
      </c>
      <c r="K50" s="101">
        <f t="shared" si="1"/>
        <v>0.1891891891891892</v>
      </c>
      <c r="L50" s="101">
        <f t="shared" si="1"/>
        <v>0.1891891891891892</v>
      </c>
      <c r="M50" s="101">
        <f t="shared" si="1"/>
        <v>0.1891891891891892</v>
      </c>
      <c r="N50" s="101">
        <f t="shared" si="1"/>
        <v>0.1891891891891892</v>
      </c>
      <c r="O50" s="101">
        <f t="shared" si="1"/>
        <v>0.1891891891891892</v>
      </c>
      <c r="P50" s="101">
        <f t="shared" si="1"/>
        <v>0.1891891891891892</v>
      </c>
      <c r="Q50" s="101">
        <f t="shared" si="1"/>
        <v>0.1891891891891892</v>
      </c>
      <c r="R50" s="101">
        <f t="shared" si="1"/>
        <v>0.1891891891891892</v>
      </c>
      <c r="S50" s="101">
        <f t="shared" si="1"/>
        <v>0.1891891891891892</v>
      </c>
      <c r="T50" s="101">
        <f t="shared" si="1"/>
        <v>0.1891891891891892</v>
      </c>
      <c r="U50" s="101">
        <f t="shared" si="1"/>
        <v>0.1891891891891892</v>
      </c>
      <c r="V50" s="6"/>
      <c r="W50" s="6"/>
      <c r="X50" s="6"/>
    </row>
    <row r="51" spans="3:24" ht="16.8">
      <c r="C51" s="6"/>
      <c r="D51" s="6"/>
      <c r="E51" s="6"/>
      <c r="F51" s="6"/>
      <c r="G51" s="134" t="s">
        <v>169</v>
      </c>
      <c r="H51" s="134"/>
      <c r="I51" s="101">
        <f>AVERAGE(simPy_sheet!G77:G82)</f>
        <v>0.18918918918918923</v>
      </c>
      <c r="J51" s="101">
        <f>AVERAGE(simPy_sheet!J77:J82)</f>
        <v>0.18918918918918923</v>
      </c>
      <c r="K51" s="101">
        <f>AVERAGE(simPy_sheet!M77:M82)</f>
        <v>0.18918918918918923</v>
      </c>
      <c r="L51" s="101">
        <f>AVERAGE(simPy_sheet!P77:P82)</f>
        <v>0.18918918918918923</v>
      </c>
      <c r="M51" s="101">
        <f>AVERAGE(simPy_sheet!S77:S82)</f>
        <v>0.18918918918918923</v>
      </c>
      <c r="N51" s="101">
        <f>AVERAGE(simPy_sheet!V77:V82)</f>
        <v>0.18918918918918923</v>
      </c>
      <c r="O51" s="101">
        <f>AVERAGE(simPy_sheet!Y77:Y82)</f>
        <v>0.18918918918918923</v>
      </c>
      <c r="P51" s="101">
        <f>AVERAGE(simPy_sheet!AB77:AB82)</f>
        <v>0.18918918918918923</v>
      </c>
      <c r="Q51" s="101">
        <f>AVERAGE(simPy_sheet!AE77:AE82)</f>
        <v>0.18918918918918923</v>
      </c>
      <c r="R51" s="101">
        <f>AVERAGE(simPy_sheet!AH77:AH82)</f>
        <v>0.18918918918918923</v>
      </c>
      <c r="S51" s="101">
        <f>AVERAGE(simPy_sheet!AK77:AK82)</f>
        <v>0.18918918918918923</v>
      </c>
      <c r="T51" s="101">
        <f>AVERAGE(simPy_sheet!AN77:AN82)</f>
        <v>0.18918918918918923</v>
      </c>
      <c r="U51" s="101">
        <f>AVERAGE(simPy_sheet!AQ77:AQ82)</f>
        <v>0.18918918918918923</v>
      </c>
      <c r="V51" s="6"/>
      <c r="W51" s="6"/>
      <c r="X51" s="6"/>
    </row>
    <row r="52" spans="3:24" ht="16.8">
      <c r="C52" s="6" t="s">
        <v>184</v>
      </c>
      <c r="D52" s="6"/>
      <c r="E52" s="6"/>
      <c r="F52" s="96"/>
      <c r="G52" s="125">
        <f>modAllocation!E1</f>
        <v>0.28999999999999998</v>
      </c>
      <c r="H52" s="126"/>
      <c r="I52" s="63"/>
      <c r="J52" s="63"/>
      <c r="K52" s="63"/>
      <c r="L52" s="63"/>
      <c r="M52" s="63"/>
      <c r="N52" s="63"/>
      <c r="O52" s="63"/>
      <c r="P52" s="63"/>
      <c r="Q52" s="63"/>
      <c r="R52" s="63"/>
      <c r="S52" s="63"/>
      <c r="T52" s="63"/>
      <c r="U52" s="63"/>
      <c r="V52" s="6"/>
      <c r="W52" s="6"/>
      <c r="X52" s="6"/>
    </row>
    <row r="53" spans="3:24" ht="16.8">
      <c r="C53" s="6"/>
      <c r="D53" s="6"/>
      <c r="E53" s="6"/>
      <c r="F53" s="6"/>
      <c r="G53" s="135" t="s">
        <v>168</v>
      </c>
      <c r="H53" s="135"/>
      <c r="I53" s="84">
        <f>AVERAGE(simPy_sheet!$E$71:$E$76)</f>
        <v>0.28999999999999998</v>
      </c>
      <c r="J53" s="84">
        <f>AVERAGE(simPy_sheet!$E$71:$E$76)</f>
        <v>0.28999999999999998</v>
      </c>
      <c r="K53" s="85">
        <f>AVERAGE(simPy_sheet!$E$71:$E$76)</f>
        <v>0.28999999999999998</v>
      </c>
      <c r="L53" s="84">
        <f>AVERAGE(simPy_sheet!$E$71:$E$76)</f>
        <v>0.28999999999999998</v>
      </c>
      <c r="M53" s="84">
        <f>AVERAGE(simPy_sheet!$E$71:$E$76)</f>
        <v>0.28999999999999998</v>
      </c>
      <c r="N53" s="84">
        <f>AVERAGE(simPy_sheet!$E$71:$E$76)</f>
        <v>0.28999999999999998</v>
      </c>
      <c r="O53" s="84">
        <f>AVERAGE(simPy_sheet!$E$71:$E$76)</f>
        <v>0.28999999999999998</v>
      </c>
      <c r="P53" s="84">
        <f>AVERAGE(simPy_sheet!$E$71:$E$76)</f>
        <v>0.28999999999999998</v>
      </c>
      <c r="Q53" s="84">
        <f>AVERAGE(simPy_sheet!$E$71:$E$76)</f>
        <v>0.28999999999999998</v>
      </c>
      <c r="R53" s="84">
        <f>AVERAGE(simPy_sheet!$E$71:$E$76)</f>
        <v>0.28999999999999998</v>
      </c>
      <c r="S53" s="84">
        <f>AVERAGE(simPy_sheet!$E$71:$E$76)</f>
        <v>0.28999999999999998</v>
      </c>
      <c r="T53" s="84">
        <f>AVERAGE(simPy_sheet!$E$71:$E$76)</f>
        <v>0.28999999999999998</v>
      </c>
      <c r="U53" s="84">
        <f>AVERAGE(simPy_sheet!$E$71:$E$76)</f>
        <v>0.28999999999999998</v>
      </c>
      <c r="V53" s="6"/>
      <c r="W53" s="6"/>
      <c r="X53" s="6"/>
    </row>
    <row r="54" spans="3:24" ht="16.8">
      <c r="C54" s="6"/>
      <c r="D54" s="6"/>
      <c r="E54" s="6"/>
      <c r="F54" s="6"/>
      <c r="G54" s="131" t="s">
        <v>169</v>
      </c>
      <c r="H54" s="131"/>
      <c r="I54" s="84">
        <f>AVERAGE(simPy_sheet!H71:H76)</f>
        <v>0.28999999999999998</v>
      </c>
      <c r="J54" s="84">
        <f>AVERAGE(simPy_sheet!K71:K76)</f>
        <v>0.28999999999999998</v>
      </c>
      <c r="K54" s="85">
        <f>AVERAGE(simPy_sheet!N71:N76)</f>
        <v>0.28999999999999998</v>
      </c>
      <c r="L54" s="84">
        <f>AVERAGE(simPy_sheet!Q71:Q76)</f>
        <v>0.28999999999999998</v>
      </c>
      <c r="M54" s="84">
        <f>AVERAGE(simPy_sheet!T71:T76)</f>
        <v>0.28999999999999998</v>
      </c>
      <c r="N54" s="84">
        <f>AVERAGE(simPy_sheet!W71:W76)</f>
        <v>0.28999999999999998</v>
      </c>
      <c r="O54" s="84">
        <f>AVERAGE(simPy_sheet!Z71:Z76)</f>
        <v>0.28999999999999998</v>
      </c>
      <c r="P54" s="84">
        <f>AVERAGE(simPy_sheet!AC71:AC76)</f>
        <v>0.28999999999999998</v>
      </c>
      <c r="Q54" s="84">
        <f>AVERAGE(simPy_sheet!AF71:AF76)</f>
        <v>0.28999999999999998</v>
      </c>
      <c r="R54" s="84">
        <f>AVERAGE(simPy_sheet!AI71:AI76)</f>
        <v>0.28999999999999998</v>
      </c>
      <c r="S54" s="84">
        <f>AVERAGE(simPy_sheet!AL71:AL76)</f>
        <v>0.28999999999999998</v>
      </c>
      <c r="T54" s="84">
        <f>AVERAGE(simPy_sheet!AO71:AO76)</f>
        <v>0.28999999999999998</v>
      </c>
      <c r="U54" s="84">
        <f>AVERAGE(simPy_sheet!AR71:AR76)</f>
        <v>0.28999999999999998</v>
      </c>
      <c r="V54" s="6"/>
      <c r="W54" s="6"/>
      <c r="X54" s="6"/>
    </row>
    <row r="55" spans="3:24" ht="19.2">
      <c r="C55" s="19" t="s">
        <v>20</v>
      </c>
      <c r="D55" s="10"/>
      <c r="E55" s="10"/>
      <c r="F55" s="10"/>
      <c r="G55" s="10"/>
      <c r="H55" s="10"/>
      <c r="I55" s="10"/>
      <c r="J55" s="10"/>
      <c r="K55" s="10"/>
      <c r="L55" s="10"/>
      <c r="M55" s="6"/>
      <c r="N55" s="6"/>
      <c r="O55" s="6"/>
      <c r="P55" s="6"/>
      <c r="Q55" s="6"/>
      <c r="R55" s="6"/>
      <c r="S55" s="6"/>
      <c r="T55" s="6"/>
      <c r="U55" s="6"/>
      <c r="V55" s="6"/>
      <c r="W55" s="6"/>
      <c r="X55" s="6"/>
    </row>
    <row r="56" spans="3:24" ht="4.2" customHeight="1">
      <c r="C56" s="6"/>
      <c r="D56" s="6"/>
      <c r="E56" s="6"/>
      <c r="F56" s="6"/>
      <c r="G56" s="6"/>
      <c r="H56" s="6"/>
      <c r="I56" s="6"/>
      <c r="J56" s="6"/>
      <c r="K56" s="6"/>
      <c r="L56" s="6"/>
      <c r="M56" s="6"/>
      <c r="N56" s="6"/>
      <c r="O56" s="6"/>
      <c r="P56" s="6"/>
      <c r="Q56" s="6"/>
      <c r="R56" s="6"/>
      <c r="S56" s="6"/>
      <c r="T56" s="6"/>
      <c r="U56" s="6"/>
      <c r="V56" s="6"/>
      <c r="W56" s="6"/>
      <c r="X56" s="6"/>
    </row>
    <row r="57" spans="3:24" ht="57.6" customHeight="1">
      <c r="C57" s="127" t="s">
        <v>126</v>
      </c>
      <c r="D57" s="127"/>
      <c r="E57" s="127"/>
      <c r="F57" s="127"/>
      <c r="G57" s="127"/>
      <c r="H57" s="127"/>
      <c r="I57" s="127"/>
      <c r="J57" s="127"/>
      <c r="K57" s="127"/>
      <c r="L57" s="127"/>
      <c r="M57" s="97"/>
      <c r="N57" s="97"/>
      <c r="O57" s="6"/>
      <c r="P57" s="6"/>
      <c r="Q57" s="6"/>
      <c r="R57" s="6"/>
      <c r="S57" s="98"/>
      <c r="T57" s="6"/>
      <c r="U57" s="99"/>
      <c r="V57" s="6"/>
      <c r="W57" s="6"/>
      <c r="X57" s="6"/>
    </row>
    <row r="58" spans="3:24" ht="13.95" customHeight="1">
      <c r="C58" s="100"/>
      <c r="D58" s="100"/>
      <c r="E58" s="100"/>
      <c r="F58" s="100"/>
      <c r="G58" s="100"/>
      <c r="H58" s="100"/>
      <c r="I58" s="100"/>
      <c r="J58" s="100"/>
      <c r="K58" s="100"/>
      <c r="L58" s="100"/>
      <c r="M58" s="97"/>
      <c r="N58" s="97"/>
      <c r="O58" s="6"/>
      <c r="P58" s="6"/>
      <c r="Q58" s="6"/>
      <c r="R58" s="6"/>
      <c r="S58" s="98"/>
      <c r="T58" s="6"/>
      <c r="U58" s="99"/>
      <c r="V58" s="6"/>
      <c r="W58" s="6"/>
      <c r="X58" s="6"/>
    </row>
    <row r="59" spans="3:24" ht="13.2" customHeight="1">
      <c r="C59" s="6"/>
      <c r="D59" s="6"/>
      <c r="E59" s="6"/>
      <c r="F59" s="6"/>
      <c r="G59" s="132" t="s">
        <v>17</v>
      </c>
      <c r="H59" s="132"/>
      <c r="I59" s="128" t="s">
        <v>82</v>
      </c>
      <c r="J59" s="129"/>
      <c r="K59" s="129"/>
      <c r="L59" s="129"/>
      <c r="M59" s="129"/>
      <c r="N59" s="129"/>
      <c r="O59" s="129"/>
      <c r="P59" s="129"/>
      <c r="Q59" s="129"/>
      <c r="R59" s="129"/>
      <c r="S59" s="129"/>
      <c r="T59" s="129"/>
      <c r="U59" s="130"/>
      <c r="V59" s="6"/>
      <c r="W59" s="6"/>
      <c r="X59" s="6"/>
    </row>
    <row r="60" spans="3:24" ht="16.8" customHeight="1">
      <c r="C60" s="15"/>
      <c r="D60" s="15"/>
      <c r="E60" s="15"/>
      <c r="F60" s="15" t="s">
        <v>83</v>
      </c>
      <c r="G60" s="133"/>
      <c r="H60" s="133"/>
      <c r="I60">
        <f>R21</f>
        <v>2023</v>
      </c>
      <c r="J60">
        <f>I60+1</f>
        <v>2024</v>
      </c>
      <c r="K60">
        <f t="shared" ref="K60:U60" si="2">J60+1</f>
        <v>2025</v>
      </c>
      <c r="L60">
        <f t="shared" si="2"/>
        <v>2026</v>
      </c>
      <c r="M60">
        <f t="shared" si="2"/>
        <v>2027</v>
      </c>
      <c r="N60">
        <f t="shared" si="2"/>
        <v>2028</v>
      </c>
      <c r="O60">
        <f t="shared" si="2"/>
        <v>2029</v>
      </c>
      <c r="P60">
        <f t="shared" si="2"/>
        <v>2030</v>
      </c>
      <c r="Q60">
        <f t="shared" si="2"/>
        <v>2031</v>
      </c>
      <c r="R60">
        <f t="shared" si="2"/>
        <v>2032</v>
      </c>
      <c r="S60">
        <f t="shared" si="2"/>
        <v>2033</v>
      </c>
      <c r="T60">
        <f t="shared" si="2"/>
        <v>2034</v>
      </c>
      <c r="U60">
        <f t="shared" si="2"/>
        <v>2035</v>
      </c>
      <c r="V60" s="6"/>
      <c r="W60" s="6"/>
      <c r="X60" s="6"/>
    </row>
    <row r="61" spans="3:24" ht="18.600000000000001" customHeight="1">
      <c r="C61" s="12" t="s">
        <v>72</v>
      </c>
      <c r="D61" s="12"/>
      <c r="E61" s="12"/>
      <c r="F61" s="90" t="s">
        <v>84</v>
      </c>
      <c r="G61" s="137">
        <f>divertToCC!C1</f>
        <v>0.1</v>
      </c>
      <c r="H61" s="138"/>
      <c r="I61" s="63"/>
      <c r="J61" s="63"/>
      <c r="K61" s="63"/>
      <c r="L61" s="63"/>
      <c r="M61" s="63"/>
      <c r="N61" s="63"/>
      <c r="O61" s="63"/>
      <c r="P61" s="63"/>
      <c r="Q61" s="63"/>
      <c r="R61" s="63"/>
      <c r="S61" s="63"/>
      <c r="T61" s="63"/>
      <c r="U61" s="63"/>
      <c r="V61" s="6"/>
      <c r="W61" s="6"/>
      <c r="X61" s="6"/>
    </row>
    <row r="62" spans="3:24" ht="16.8" customHeight="1">
      <c r="C62" s="6"/>
      <c r="D62" s="6"/>
      <c r="E62" s="6"/>
      <c r="F62" s="91" t="s">
        <v>85</v>
      </c>
      <c r="G62" s="137">
        <f>divertToCC!C2</f>
        <v>0.1</v>
      </c>
      <c r="H62" s="138"/>
      <c r="I62" s="63"/>
      <c r="J62" s="63"/>
      <c r="K62" s="63"/>
      <c r="L62" s="63"/>
      <c r="M62" s="63"/>
      <c r="N62" s="63"/>
      <c r="O62" s="63"/>
      <c r="P62" s="63"/>
      <c r="Q62" s="63"/>
      <c r="R62" s="63"/>
      <c r="S62" s="63"/>
      <c r="T62" s="63"/>
      <c r="U62" s="63"/>
      <c r="V62" s="6"/>
      <c r="W62" s="6"/>
      <c r="X62" s="6"/>
    </row>
    <row r="63" spans="3:24" ht="16.8">
      <c r="C63" s="6"/>
      <c r="D63" s="6"/>
      <c r="E63" s="6"/>
      <c r="F63" s="91" t="s">
        <v>86</v>
      </c>
      <c r="G63" s="137">
        <f>divertToCC!C3</f>
        <v>0.1</v>
      </c>
      <c r="H63" s="138"/>
      <c r="I63" s="63"/>
      <c r="J63" s="63"/>
      <c r="K63" s="63"/>
      <c r="L63" s="63"/>
      <c r="M63" s="63"/>
      <c r="N63" s="63"/>
      <c r="O63" s="63"/>
      <c r="P63" s="63"/>
      <c r="Q63" s="63"/>
      <c r="R63" s="63"/>
      <c r="S63" s="63"/>
      <c r="T63" s="63"/>
      <c r="U63" s="63"/>
      <c r="V63" s="6"/>
      <c r="W63" s="6"/>
      <c r="X63" s="6"/>
    </row>
    <row r="64" spans="3:24" ht="16.8" customHeight="1">
      <c r="C64" s="6"/>
      <c r="D64" s="6"/>
      <c r="E64" s="6"/>
      <c r="F64" s="91" t="s">
        <v>87</v>
      </c>
      <c r="G64" s="137">
        <f>divertToCC!C4</f>
        <v>0.1</v>
      </c>
      <c r="H64" s="138"/>
      <c r="I64" s="63"/>
      <c r="J64" s="63"/>
      <c r="K64" s="63"/>
      <c r="L64" s="63"/>
      <c r="M64" s="63"/>
      <c r="N64" s="63"/>
      <c r="O64" s="63"/>
      <c r="P64" s="63"/>
      <c r="Q64" s="63"/>
      <c r="R64" s="63"/>
      <c r="S64" s="63"/>
      <c r="T64" s="63"/>
      <c r="U64" s="63"/>
      <c r="V64" s="6"/>
      <c r="W64" s="6"/>
      <c r="X64" s="6"/>
    </row>
    <row r="65" spans="3:24" ht="16.8">
      <c r="C65" s="6"/>
      <c r="D65" s="6"/>
      <c r="E65" s="6"/>
      <c r="F65" s="91" t="s">
        <v>88</v>
      </c>
      <c r="G65" s="137">
        <f>divertToCC!C5</f>
        <v>0.25</v>
      </c>
      <c r="H65" s="138"/>
      <c r="I65" s="63"/>
      <c r="J65" s="63"/>
      <c r="K65" s="63"/>
      <c r="L65" s="63"/>
      <c r="M65" s="63"/>
      <c r="N65" s="63"/>
      <c r="O65" s="63"/>
      <c r="P65" s="63"/>
      <c r="Q65" s="63"/>
      <c r="R65" s="63"/>
      <c r="S65" s="63"/>
      <c r="T65" s="63"/>
      <c r="U65" s="63"/>
      <c r="V65" s="6"/>
      <c r="W65" s="6"/>
      <c r="X65" s="6"/>
    </row>
    <row r="66" spans="3:24" ht="17.399999999999999" thickBot="1">
      <c r="C66" s="6"/>
      <c r="D66" s="6"/>
      <c r="E66" s="6"/>
      <c r="F66" s="92" t="s">
        <v>89</v>
      </c>
      <c r="G66" s="139">
        <f>divertToCC!C6</f>
        <v>0.5</v>
      </c>
      <c r="H66" s="140"/>
      <c r="I66" s="64"/>
      <c r="J66" s="64"/>
      <c r="K66" s="64"/>
      <c r="L66" s="64"/>
      <c r="M66" s="64"/>
      <c r="N66" s="64"/>
      <c r="O66" s="64"/>
      <c r="P66" s="64"/>
      <c r="Q66" s="64"/>
      <c r="R66" s="64"/>
      <c r="S66" s="64"/>
      <c r="T66" s="64"/>
      <c r="U66" s="64"/>
      <c r="V66" s="6"/>
      <c r="W66" s="6"/>
      <c r="X66" s="6"/>
    </row>
    <row r="67" spans="3:24" ht="16.8">
      <c r="C67" s="6" t="s">
        <v>73</v>
      </c>
      <c r="D67" s="6"/>
      <c r="E67" s="6"/>
      <c r="F67" s="96"/>
      <c r="G67" s="148">
        <f>referral_dist!B2</f>
        <v>0.2</v>
      </c>
      <c r="H67" s="149"/>
      <c r="I67" s="65"/>
      <c r="J67" s="65"/>
      <c r="K67" s="65"/>
      <c r="L67" s="65"/>
      <c r="M67" s="65"/>
      <c r="N67" s="65"/>
      <c r="O67" s="65"/>
      <c r="P67" s="65"/>
      <c r="Q67" s="65"/>
      <c r="R67" s="65"/>
      <c r="S67" s="65"/>
      <c r="T67" s="65"/>
      <c r="U67" s="65"/>
      <c r="V67" s="6"/>
      <c r="W67" s="6"/>
      <c r="X67" s="6"/>
    </row>
    <row r="68" spans="3:24" ht="16.8">
      <c r="C68" s="6"/>
      <c r="D68" s="6"/>
      <c r="E68" s="6"/>
      <c r="F68" s="6"/>
      <c r="G68" s="142" t="s">
        <v>170</v>
      </c>
      <c r="H68" s="142"/>
      <c r="I68" s="93">
        <f t="shared" ref="I68:U68" si="3">IncLP</f>
        <v>0.2</v>
      </c>
      <c r="J68" s="93">
        <f t="shared" si="3"/>
        <v>0.2</v>
      </c>
      <c r="K68" s="93">
        <f t="shared" si="3"/>
        <v>0.2</v>
      </c>
      <c r="L68" s="93">
        <f t="shared" si="3"/>
        <v>0.2</v>
      </c>
      <c r="M68" s="93">
        <f t="shared" si="3"/>
        <v>0.2</v>
      </c>
      <c r="N68" s="93">
        <f t="shared" si="3"/>
        <v>0.2</v>
      </c>
      <c r="O68" s="93">
        <f t="shared" si="3"/>
        <v>0.2</v>
      </c>
      <c r="P68" s="93">
        <f t="shared" si="3"/>
        <v>0.2</v>
      </c>
      <c r="Q68" s="93">
        <f t="shared" si="3"/>
        <v>0.2</v>
      </c>
      <c r="R68" s="93">
        <f t="shared" si="3"/>
        <v>0.2</v>
      </c>
      <c r="S68" s="93">
        <f t="shared" si="3"/>
        <v>0.2</v>
      </c>
      <c r="T68" s="93">
        <f t="shared" si="3"/>
        <v>0.2</v>
      </c>
      <c r="U68" s="93">
        <f t="shared" si="3"/>
        <v>0.2</v>
      </c>
      <c r="V68" s="6"/>
      <c r="W68" s="6"/>
      <c r="X68" s="6"/>
    </row>
    <row r="69" spans="3:24" ht="16.8">
      <c r="C69" s="6"/>
      <c r="D69" s="6"/>
      <c r="E69" s="6"/>
      <c r="F69" s="6"/>
      <c r="G69" s="131" t="s">
        <v>171</v>
      </c>
      <c r="H69" s="131"/>
      <c r="I69" s="94">
        <f>simPy_sheet!B12</f>
        <v>0.2</v>
      </c>
      <c r="J69" s="94">
        <f>simPy_sheet!C12</f>
        <v>0.2</v>
      </c>
      <c r="K69" s="94">
        <f>simPy_sheet!D12</f>
        <v>0.2</v>
      </c>
      <c r="L69" s="94">
        <f>simPy_sheet!E12</f>
        <v>0.2</v>
      </c>
      <c r="M69" s="94">
        <f>simPy_sheet!F12</f>
        <v>0.2</v>
      </c>
      <c r="N69" s="94">
        <f>simPy_sheet!G12</f>
        <v>0.2</v>
      </c>
      <c r="O69" s="94">
        <f>simPy_sheet!H12</f>
        <v>0.2</v>
      </c>
      <c r="P69" s="94">
        <f>simPy_sheet!I12</f>
        <v>0.2</v>
      </c>
      <c r="Q69" s="94">
        <f>simPy_sheet!J12</f>
        <v>0.2</v>
      </c>
      <c r="R69" s="94">
        <f>simPy_sheet!K12</f>
        <v>0.2</v>
      </c>
      <c r="S69" s="94">
        <f>simPy_sheet!L12</f>
        <v>0.2</v>
      </c>
      <c r="T69" s="94">
        <f>simPy_sheet!M12</f>
        <v>0.2</v>
      </c>
      <c r="U69" s="94">
        <f>simPy_sheet!N12</f>
        <v>0.2</v>
      </c>
      <c r="V69" s="6"/>
      <c r="W69" s="6"/>
      <c r="X69" s="6"/>
    </row>
    <row r="70" spans="3:24" ht="16.8">
      <c r="C70" s="6"/>
      <c r="D70" s="6"/>
      <c r="E70" s="6"/>
      <c r="F70" s="6"/>
      <c r="G70" s="122"/>
      <c r="H70" s="122"/>
      <c r="I70" s="94"/>
      <c r="J70" s="94"/>
      <c r="K70" s="94"/>
      <c r="L70" s="94"/>
      <c r="M70" s="94"/>
      <c r="N70" s="94"/>
      <c r="O70" s="94"/>
      <c r="P70" s="94"/>
      <c r="Q70" s="94"/>
      <c r="R70" s="94"/>
      <c r="S70" s="94"/>
      <c r="T70" s="94"/>
      <c r="U70" s="94"/>
      <c r="V70" s="6"/>
      <c r="W70" s="6"/>
      <c r="X70" s="6"/>
    </row>
    <row r="71" spans="3:24" ht="19.2">
      <c r="C71" s="19" t="s">
        <v>21</v>
      </c>
      <c r="D71" s="25"/>
      <c r="E71" s="25"/>
      <c r="F71" s="25"/>
      <c r="G71" s="25"/>
      <c r="H71" s="25"/>
      <c r="I71" s="25"/>
      <c r="J71" s="25"/>
      <c r="K71" s="25"/>
      <c r="L71" s="25"/>
      <c r="M71" s="221"/>
      <c r="N71" s="221"/>
      <c r="O71" s="221"/>
      <c r="P71" s="221"/>
      <c r="Q71" s="221"/>
      <c r="R71" s="221"/>
      <c r="S71" s="221"/>
      <c r="T71" s="221"/>
      <c r="U71" s="221"/>
      <c r="V71" s="6"/>
      <c r="W71" s="6"/>
      <c r="X71" s="6"/>
    </row>
    <row r="72" spans="3:24" ht="16.8">
      <c r="C72" s="11"/>
      <c r="D72" s="11"/>
      <c r="E72" s="11"/>
      <c r="F72" s="11"/>
      <c r="G72" s="11"/>
      <c r="H72" s="11"/>
      <c r="I72" s="11"/>
      <c r="J72" s="11"/>
      <c r="K72" s="11"/>
      <c r="L72" s="11"/>
      <c r="M72" s="221"/>
      <c r="N72" s="221"/>
      <c r="O72" s="221"/>
      <c r="P72" s="221"/>
      <c r="Q72" s="221"/>
      <c r="R72" s="221"/>
      <c r="S72" s="221"/>
      <c r="T72" s="221"/>
      <c r="U72" s="221"/>
      <c r="V72" s="6"/>
      <c r="W72" s="6"/>
      <c r="X72" s="6"/>
    </row>
    <row r="73" spans="3:24" ht="104.4" customHeight="1">
      <c r="C73" s="127" t="s">
        <v>185</v>
      </c>
      <c r="D73" s="127"/>
      <c r="E73" s="127"/>
      <c r="F73" s="127"/>
      <c r="G73" s="127"/>
      <c r="H73" s="127"/>
      <c r="I73" s="127"/>
      <c r="J73" s="127"/>
      <c r="K73" s="127"/>
      <c r="L73" s="127"/>
      <c r="M73" s="221"/>
      <c r="N73" s="221"/>
      <c r="O73" s="221"/>
      <c r="P73" s="221"/>
      <c r="Q73" s="221"/>
      <c r="R73" s="221"/>
      <c r="S73" s="221"/>
      <c r="T73" s="221"/>
      <c r="U73" s="221"/>
      <c r="V73" s="6"/>
      <c r="W73" s="6"/>
      <c r="X73" s="6"/>
    </row>
    <row r="74" spans="3:24" ht="16.8">
      <c r="C74" s="6"/>
      <c r="D74" s="6"/>
      <c r="E74" s="6"/>
      <c r="F74" s="6"/>
      <c r="G74" s="122"/>
      <c r="H74" s="122"/>
      <c r="I74" s="221"/>
      <c r="J74" s="221"/>
      <c r="K74" s="221"/>
      <c r="L74" s="221"/>
      <c r="M74" s="221"/>
      <c r="N74" s="221"/>
      <c r="O74" s="221"/>
      <c r="P74" s="221"/>
      <c r="Q74" s="221"/>
      <c r="R74" s="221"/>
      <c r="S74" s="221"/>
      <c r="T74" s="221"/>
      <c r="U74" s="221"/>
      <c r="V74" s="6"/>
      <c r="W74" s="6"/>
      <c r="X74" s="6"/>
    </row>
    <row r="75" spans="3:24" ht="16.8">
      <c r="C75" s="11"/>
      <c r="D75" s="11"/>
      <c r="E75" s="11"/>
      <c r="F75" s="15"/>
      <c r="G75" s="144" t="s">
        <v>17</v>
      </c>
      <c r="H75" s="144"/>
      <c r="I75">
        <v>2023</v>
      </c>
      <c r="J75">
        <v>2024</v>
      </c>
      <c r="K75">
        <v>2025</v>
      </c>
      <c r="L75">
        <v>2026</v>
      </c>
      <c r="M75">
        <v>2027</v>
      </c>
      <c r="N75">
        <v>2028</v>
      </c>
      <c r="O75">
        <v>2029</v>
      </c>
      <c r="P75">
        <v>2030</v>
      </c>
      <c r="Q75">
        <v>2031</v>
      </c>
      <c r="R75">
        <v>2032</v>
      </c>
      <c r="S75">
        <v>2033</v>
      </c>
      <c r="T75">
        <v>2034</v>
      </c>
      <c r="U75">
        <v>2035</v>
      </c>
      <c r="V75" s="6"/>
      <c r="W75" s="6"/>
      <c r="X75" s="6"/>
    </row>
    <row r="76" spans="3:24" ht="16.8">
      <c r="C76" s="80" t="s">
        <v>186</v>
      </c>
      <c r="D76" s="80"/>
      <c r="E76" s="80"/>
      <c r="F76" s="102"/>
      <c r="G76" s="222">
        <f>simPy_sheet!B128</f>
        <v>9.7838221418373866E-2</v>
      </c>
      <c r="H76" s="222"/>
      <c r="I76" s="63"/>
      <c r="J76" s="63"/>
      <c r="K76" s="63"/>
      <c r="L76" s="63"/>
      <c r="M76" s="63"/>
      <c r="N76" s="63"/>
      <c r="O76" s="63"/>
      <c r="P76" s="63"/>
      <c r="Q76" s="63"/>
      <c r="R76" s="63"/>
      <c r="S76" s="63"/>
      <c r="T76" s="63"/>
      <c r="U76" s="63"/>
      <c r="V76" s="6"/>
      <c r="W76" s="6"/>
      <c r="X76" s="6"/>
    </row>
    <row r="77" spans="3:24" ht="16.8">
      <c r="C77" s="11"/>
      <c r="D77" s="11"/>
      <c r="E77" s="11"/>
      <c r="F77" s="11"/>
      <c r="G77" s="223" t="s">
        <v>187</v>
      </c>
      <c r="H77" s="223"/>
      <c r="I77" s="224">
        <f>$G$76</f>
        <v>9.7838221418373866E-2</v>
      </c>
      <c r="J77" s="224">
        <f t="shared" ref="J77:U77" si="4">$G$76</f>
        <v>9.7838221418373866E-2</v>
      </c>
      <c r="K77" s="224">
        <f t="shared" si="4"/>
        <v>9.7838221418373866E-2</v>
      </c>
      <c r="L77" s="224">
        <f t="shared" si="4"/>
        <v>9.7838221418373866E-2</v>
      </c>
      <c r="M77" s="224">
        <f t="shared" si="4"/>
        <v>9.7838221418373866E-2</v>
      </c>
      <c r="N77" s="224">
        <f t="shared" si="4"/>
        <v>9.7838221418373866E-2</v>
      </c>
      <c r="O77" s="224">
        <f t="shared" si="4"/>
        <v>9.7838221418373866E-2</v>
      </c>
      <c r="P77" s="224">
        <f t="shared" si="4"/>
        <v>9.7838221418373866E-2</v>
      </c>
      <c r="Q77" s="224">
        <f t="shared" si="4"/>
        <v>9.7838221418373866E-2</v>
      </c>
      <c r="R77" s="224">
        <f t="shared" si="4"/>
        <v>9.7838221418373866E-2</v>
      </c>
      <c r="S77" s="224">
        <f t="shared" si="4"/>
        <v>9.7838221418373866E-2</v>
      </c>
      <c r="T77" s="224">
        <f t="shared" si="4"/>
        <v>9.7838221418373866E-2</v>
      </c>
      <c r="U77" s="224">
        <f t="shared" si="4"/>
        <v>9.7838221418373866E-2</v>
      </c>
      <c r="V77" s="6"/>
      <c r="W77" s="6"/>
      <c r="X77" s="6"/>
    </row>
    <row r="78" spans="3:24" ht="16.8">
      <c r="C78" s="11"/>
      <c r="D78" s="11"/>
      <c r="E78" s="11"/>
      <c r="F78" s="11"/>
      <c r="G78" s="223" t="s">
        <v>188</v>
      </c>
      <c r="H78" s="223"/>
      <c r="I78" s="224">
        <f>simPy_sheet!C128</f>
        <v>9.7838221418373866E-2</v>
      </c>
      <c r="J78" s="224">
        <f>simPy_sheet!D128</f>
        <v>9.7838221418373866E-2</v>
      </c>
      <c r="K78" s="224">
        <f>simPy_sheet!E128</f>
        <v>9.7838221418373866E-2</v>
      </c>
      <c r="L78" s="224">
        <f>simPy_sheet!F128</f>
        <v>9.7838221418373866E-2</v>
      </c>
      <c r="M78" s="224">
        <f>simPy_sheet!G128</f>
        <v>9.7838221418373866E-2</v>
      </c>
      <c r="N78" s="224">
        <f>simPy_sheet!H128</f>
        <v>9.7838221418373866E-2</v>
      </c>
      <c r="O78" s="224">
        <f>simPy_sheet!I128</f>
        <v>9.7838221418373866E-2</v>
      </c>
      <c r="P78" s="224">
        <f>simPy_sheet!J128</f>
        <v>9.7838221418373866E-2</v>
      </c>
      <c r="Q78" s="224">
        <f>simPy_sheet!K128</f>
        <v>9.7838221418373866E-2</v>
      </c>
      <c r="R78" s="224">
        <f>simPy_sheet!L128</f>
        <v>9.7838221418373866E-2</v>
      </c>
      <c r="S78" s="224">
        <f>simPy_sheet!M128</f>
        <v>9.7838221418373866E-2</v>
      </c>
      <c r="T78" s="224">
        <f>simPy_sheet!N128</f>
        <v>9.7838221418373866E-2</v>
      </c>
      <c r="U78" s="224">
        <f>simPy_sheet!O128</f>
        <v>9.7838221418373866E-2</v>
      </c>
      <c r="V78" s="6"/>
      <c r="W78" s="6"/>
      <c r="X78" s="6"/>
    </row>
    <row r="79" spans="3:24" ht="16.8">
      <c r="C79" s="11" t="s">
        <v>189</v>
      </c>
      <c r="D79" s="11"/>
      <c r="E79" s="11"/>
      <c r="F79" s="96"/>
      <c r="G79" s="222">
        <f>simPy_sheet!R128</f>
        <v>0.33525620432772352</v>
      </c>
      <c r="H79" s="222"/>
      <c r="I79" s="225"/>
      <c r="J79" s="225"/>
      <c r="K79" s="225"/>
      <c r="L79" s="225"/>
      <c r="M79" s="225"/>
      <c r="N79" s="225"/>
      <c r="O79" s="225"/>
      <c r="P79" s="225"/>
      <c r="Q79" s="225"/>
      <c r="R79" s="225"/>
      <c r="S79" s="225"/>
      <c r="T79" s="225"/>
      <c r="U79" s="225"/>
      <c r="V79" s="224"/>
      <c r="W79" s="6"/>
      <c r="X79" s="6"/>
    </row>
    <row r="80" spans="3:24" ht="16.8">
      <c r="C80" s="11"/>
      <c r="D80" s="11"/>
      <c r="E80" s="11"/>
      <c r="F80" s="11"/>
      <c r="G80" s="223" t="s">
        <v>187</v>
      </c>
      <c r="H80" s="223"/>
      <c r="I80" s="224">
        <f>$G$79</f>
        <v>0.33525620432772352</v>
      </c>
      <c r="J80" s="224">
        <f t="shared" ref="J80:U80" si="5">$G$79</f>
        <v>0.33525620432772352</v>
      </c>
      <c r="K80" s="224">
        <f t="shared" si="5"/>
        <v>0.33525620432772352</v>
      </c>
      <c r="L80" s="224">
        <f t="shared" si="5"/>
        <v>0.33525620432772352</v>
      </c>
      <c r="M80" s="224">
        <f t="shared" si="5"/>
        <v>0.33525620432772352</v>
      </c>
      <c r="N80" s="224">
        <f t="shared" si="5"/>
        <v>0.33525620432772352</v>
      </c>
      <c r="O80" s="224">
        <f t="shared" si="5"/>
        <v>0.33525620432772352</v>
      </c>
      <c r="P80" s="224">
        <f t="shared" si="5"/>
        <v>0.33525620432772352</v>
      </c>
      <c r="Q80" s="224">
        <f t="shared" si="5"/>
        <v>0.33525620432772352</v>
      </c>
      <c r="R80" s="224">
        <f t="shared" si="5"/>
        <v>0.33525620432772352</v>
      </c>
      <c r="S80" s="224">
        <f t="shared" si="5"/>
        <v>0.33525620432772352</v>
      </c>
      <c r="T80" s="224">
        <f t="shared" si="5"/>
        <v>0.33525620432772352</v>
      </c>
      <c r="U80" s="224">
        <f t="shared" si="5"/>
        <v>0.33525620432772352</v>
      </c>
      <c r="V80" s="6"/>
      <c r="W80" s="6"/>
      <c r="X80" s="6"/>
    </row>
    <row r="81" spans="3:24" ht="16.8">
      <c r="C81" s="11"/>
      <c r="D81" s="11"/>
      <c r="E81" s="11"/>
      <c r="F81" s="11"/>
      <c r="G81" s="223" t="s">
        <v>188</v>
      </c>
      <c r="H81" s="223"/>
      <c r="I81" s="224">
        <f>AVERAGE(simPy_sheet!S128)</f>
        <v>0.33525620432772352</v>
      </c>
      <c r="J81" s="224">
        <f>AVERAGE(simPy_sheet!T128)</f>
        <v>0.33525620432772352</v>
      </c>
      <c r="K81" s="224">
        <f>AVERAGE(simPy_sheet!U128)</f>
        <v>0.33525620432772352</v>
      </c>
      <c r="L81" s="224">
        <f>AVERAGE(simPy_sheet!V128)</f>
        <v>0.33525620432772352</v>
      </c>
      <c r="M81" s="224">
        <f>AVERAGE(simPy_sheet!W128)</f>
        <v>0.33525620432772352</v>
      </c>
      <c r="N81" s="224">
        <f>AVERAGE(simPy_sheet!X128)</f>
        <v>0.33525620432772352</v>
      </c>
      <c r="O81" s="224">
        <f>AVERAGE(simPy_sheet!Y128)</f>
        <v>0.33525620432772352</v>
      </c>
      <c r="P81" s="224">
        <f>AVERAGE(simPy_sheet!Z128)</f>
        <v>0.33525620432772352</v>
      </c>
      <c r="Q81" s="224">
        <f>AVERAGE(simPy_sheet!AA128)</f>
        <v>0.33525620432772352</v>
      </c>
      <c r="R81" s="224">
        <f>AVERAGE(simPy_sheet!AB128)</f>
        <v>0.33525620432772352</v>
      </c>
      <c r="S81" s="224">
        <f>AVERAGE(simPy_sheet!AC128)</f>
        <v>0.33525620432772352</v>
      </c>
      <c r="T81" s="224">
        <f>AVERAGE(simPy_sheet!AD128)</f>
        <v>0.33525620432772352</v>
      </c>
      <c r="U81" s="224">
        <f>AVERAGE(simPy_sheet!AE128)</f>
        <v>0.33525620432772352</v>
      </c>
      <c r="V81" s="6"/>
      <c r="W81" s="6"/>
      <c r="X81" s="6"/>
    </row>
    <row r="82" spans="3:24" ht="16.8">
      <c r="C82" s="11" t="s">
        <v>174</v>
      </c>
      <c r="D82" s="11"/>
      <c r="E82" s="11"/>
      <c r="F82" s="11"/>
      <c r="G82" s="226">
        <f>AVERAGE(simPy_sheet!$AI$57:$AI$62)</f>
        <v>0.19999999999999998</v>
      </c>
      <c r="H82" s="226"/>
      <c r="I82" s="225"/>
      <c r="J82" s="225"/>
      <c r="K82" s="225"/>
      <c r="L82" s="225"/>
      <c r="M82" s="225"/>
      <c r="N82" s="225"/>
      <c r="O82" s="225"/>
      <c r="P82" s="225"/>
      <c r="Q82" s="225"/>
      <c r="R82" s="225"/>
      <c r="S82" s="225"/>
      <c r="T82" s="225"/>
      <c r="U82" s="225"/>
      <c r="V82" s="6"/>
      <c r="W82" s="6"/>
      <c r="X82" s="6"/>
    </row>
    <row r="83" spans="3:24" ht="16.8">
      <c r="C83" s="11"/>
      <c r="D83" s="11"/>
      <c r="E83" s="11"/>
      <c r="F83" s="11"/>
      <c r="G83" s="227" t="s">
        <v>175</v>
      </c>
      <c r="H83" s="227"/>
      <c r="I83" s="224">
        <f>$G$82</f>
        <v>0.19999999999999998</v>
      </c>
      <c r="J83" s="224">
        <f t="shared" ref="J83:U83" si="6">$G$82</f>
        <v>0.19999999999999998</v>
      </c>
      <c r="K83" s="224">
        <f t="shared" si="6"/>
        <v>0.19999999999999998</v>
      </c>
      <c r="L83" s="224">
        <f t="shared" si="6"/>
        <v>0.19999999999999998</v>
      </c>
      <c r="M83" s="224">
        <f t="shared" si="6"/>
        <v>0.19999999999999998</v>
      </c>
      <c r="N83" s="224">
        <f t="shared" si="6"/>
        <v>0.19999999999999998</v>
      </c>
      <c r="O83" s="224">
        <f t="shared" si="6"/>
        <v>0.19999999999999998</v>
      </c>
      <c r="P83" s="224">
        <f t="shared" si="6"/>
        <v>0.19999999999999998</v>
      </c>
      <c r="Q83" s="224">
        <f t="shared" si="6"/>
        <v>0.19999999999999998</v>
      </c>
      <c r="R83" s="224">
        <f t="shared" si="6"/>
        <v>0.19999999999999998</v>
      </c>
      <c r="S83" s="224">
        <f t="shared" si="6"/>
        <v>0.19999999999999998</v>
      </c>
      <c r="T83" s="224">
        <f t="shared" si="6"/>
        <v>0.19999999999999998</v>
      </c>
      <c r="U83" s="224">
        <f t="shared" si="6"/>
        <v>0.19999999999999998</v>
      </c>
      <c r="V83" s="6"/>
      <c r="W83" s="6"/>
      <c r="X83" s="6"/>
    </row>
    <row r="84" spans="3:24" s="13" customFormat="1" ht="16.8" customHeight="1">
      <c r="C84" s="11"/>
      <c r="D84" s="11"/>
      <c r="E84" s="11"/>
      <c r="F84" s="11"/>
      <c r="G84" s="223" t="s">
        <v>176</v>
      </c>
      <c r="H84" s="223"/>
      <c r="I84" s="228">
        <f>AVERAGE(simPy_sheet!AJ57:AJ62)</f>
        <v>0.19999999999999998</v>
      </c>
      <c r="J84" s="228">
        <f>AVERAGE(simPy_sheet!AK57:AK62)</f>
        <v>0.19999999999999998</v>
      </c>
      <c r="K84" s="228">
        <f>AVERAGE(simPy_sheet!AL57:AL62)</f>
        <v>0.19999999999999998</v>
      </c>
      <c r="L84" s="228">
        <f>AVERAGE(simPy_sheet!AM57:AM62)</f>
        <v>0.19999999999999998</v>
      </c>
      <c r="M84" s="228">
        <f>AVERAGE(simPy_sheet!AN57:AN62)</f>
        <v>0.19999999999999998</v>
      </c>
      <c r="N84" s="228">
        <f>AVERAGE(simPy_sheet!AO57:AO62)</f>
        <v>0.19999999999999998</v>
      </c>
      <c r="O84" s="228">
        <f>AVERAGE(simPy_sheet!AP57:AP62)</f>
        <v>0.19999999999999998</v>
      </c>
      <c r="P84" s="228">
        <f>AVERAGE(simPy_sheet!AQ57:AQ62)</f>
        <v>0.19999999999999998</v>
      </c>
      <c r="Q84" s="228">
        <f>AVERAGE(simPy_sheet!AR57:AR62)</f>
        <v>0.19999999999999998</v>
      </c>
      <c r="R84" s="228">
        <f>AVERAGE(simPy_sheet!AS57:AS62)</f>
        <v>0.19999999999999998</v>
      </c>
      <c r="S84" s="228">
        <f>AVERAGE(simPy_sheet!AT57:AT62)</f>
        <v>0.19999999999999998</v>
      </c>
      <c r="T84" s="228">
        <f>AVERAGE(simPy_sheet!AU57:AU62)</f>
        <v>0.19999999999999998</v>
      </c>
      <c r="U84" s="228">
        <f>AVERAGE(simPy_sheet!AV57:AV62)</f>
        <v>0.19999999999999998</v>
      </c>
    </row>
    <row r="85" spans="3:24" s="13" customFormat="1" ht="16.8" customHeight="1">
      <c r="C85" s="11"/>
      <c r="D85" s="11"/>
      <c r="E85" s="11"/>
      <c r="F85" s="11"/>
      <c r="G85" s="229"/>
      <c r="H85" s="229"/>
      <c r="I85" s="228"/>
      <c r="J85" s="228"/>
      <c r="K85" s="228"/>
      <c r="L85" s="228"/>
      <c r="M85" s="228"/>
      <c r="N85" s="228"/>
      <c r="O85" s="228"/>
      <c r="P85" s="228"/>
      <c r="Q85" s="228"/>
      <c r="R85" s="228"/>
      <c r="S85" s="228"/>
      <c r="T85" s="228"/>
      <c r="U85" s="228"/>
    </row>
    <row r="86" spans="3:24" s="13" customFormat="1" ht="34.200000000000003" hidden="1" customHeight="1">
      <c r="C86" s="19" t="s">
        <v>21</v>
      </c>
      <c r="D86" s="25"/>
      <c r="E86" s="25"/>
      <c r="F86" s="25"/>
      <c r="G86" s="25"/>
      <c r="H86" s="25"/>
      <c r="I86" s="25"/>
      <c r="J86" s="25"/>
      <c r="K86" s="25"/>
      <c r="L86" s="25"/>
      <c r="M86" s="11"/>
      <c r="N86" s="11"/>
      <c r="O86" s="11"/>
      <c r="P86" s="11"/>
      <c r="Q86" s="11"/>
      <c r="R86" s="11"/>
      <c r="S86" s="11"/>
      <c r="T86" s="11"/>
      <c r="U86" s="11"/>
    </row>
    <row r="87" spans="3:24" s="13" customFormat="1" ht="16.8" hidden="1">
      <c r="C87" s="11"/>
      <c r="D87" s="11"/>
      <c r="E87" s="11"/>
      <c r="F87" s="11"/>
      <c r="G87" s="11"/>
      <c r="H87" s="11"/>
      <c r="I87" s="11"/>
      <c r="J87" s="11"/>
      <c r="K87" s="11"/>
      <c r="L87" s="11"/>
      <c r="M87" s="11"/>
      <c r="N87" s="11"/>
      <c r="O87" s="11"/>
      <c r="P87" s="11"/>
      <c r="Q87" s="11"/>
      <c r="R87" s="11"/>
      <c r="S87" s="11"/>
      <c r="T87" s="11"/>
      <c r="U87" s="11"/>
    </row>
    <row r="88" spans="3:24" s="13" customFormat="1" ht="67.2" hidden="1" customHeight="1">
      <c r="C88" s="127" t="s">
        <v>172</v>
      </c>
      <c r="D88" s="127"/>
      <c r="E88" s="127"/>
      <c r="F88" s="127"/>
      <c r="G88" s="127"/>
      <c r="H88" s="127"/>
      <c r="I88" s="127"/>
      <c r="J88" s="127"/>
      <c r="K88" s="127"/>
      <c r="L88" s="127"/>
      <c r="M88" s="95"/>
      <c r="N88" s="95"/>
      <c r="O88" s="11"/>
      <c r="P88" s="11"/>
      <c r="Q88" s="11"/>
      <c r="R88" s="11"/>
      <c r="S88" s="11"/>
      <c r="T88" s="11"/>
      <c r="U88" s="11"/>
    </row>
    <row r="89" spans="3:24" s="13" customFormat="1" ht="16.8" hidden="1">
      <c r="C89" s="11"/>
      <c r="D89" s="11"/>
      <c r="E89" s="11"/>
      <c r="F89" s="11"/>
      <c r="G89" s="11"/>
      <c r="H89" s="11"/>
      <c r="I89" s="128" t="s">
        <v>128</v>
      </c>
      <c r="J89" s="129"/>
      <c r="K89" s="129"/>
      <c r="L89" s="129"/>
      <c r="M89" s="129"/>
      <c r="N89" s="129"/>
      <c r="O89" s="129"/>
      <c r="P89" s="129"/>
      <c r="Q89" s="129"/>
      <c r="R89" s="129"/>
      <c r="S89" s="129"/>
      <c r="T89" s="129"/>
      <c r="U89" s="130"/>
    </row>
    <row r="90" spans="3:24" s="13" customFormat="1" ht="16.8" hidden="1" customHeight="1">
      <c r="C90" s="11"/>
      <c r="D90" s="11"/>
      <c r="E90" s="11"/>
      <c r="F90" s="15" t="s">
        <v>83</v>
      </c>
      <c r="G90" s="144" t="s">
        <v>17</v>
      </c>
      <c r="H90" s="144"/>
      <c r="I90">
        <f>R21</f>
        <v>2023</v>
      </c>
      <c r="J90">
        <f>I90+1</f>
        <v>2024</v>
      </c>
      <c r="K90">
        <f t="shared" ref="K90:U90" si="7">J90+1</f>
        <v>2025</v>
      </c>
      <c r="L90">
        <f t="shared" si="7"/>
        <v>2026</v>
      </c>
      <c r="M90">
        <f t="shared" si="7"/>
        <v>2027</v>
      </c>
      <c r="N90">
        <f t="shared" si="7"/>
        <v>2028</v>
      </c>
      <c r="O90">
        <f t="shared" si="7"/>
        <v>2029</v>
      </c>
      <c r="P90">
        <f t="shared" si="7"/>
        <v>2030</v>
      </c>
      <c r="Q90">
        <f t="shared" si="7"/>
        <v>2031</v>
      </c>
      <c r="R90">
        <f t="shared" si="7"/>
        <v>2032</v>
      </c>
      <c r="S90">
        <f t="shared" si="7"/>
        <v>2033</v>
      </c>
      <c r="T90">
        <f t="shared" si="7"/>
        <v>2034</v>
      </c>
      <c r="U90">
        <f t="shared" si="7"/>
        <v>2035</v>
      </c>
    </row>
    <row r="91" spans="3:24" s="13" customFormat="1" ht="16.8" hidden="1">
      <c r="C91" s="80" t="s">
        <v>173</v>
      </c>
      <c r="D91" s="80"/>
      <c r="E91" s="80"/>
      <c r="F91" s="90" t="s">
        <v>84</v>
      </c>
      <c r="G91" s="145">
        <f>receivesTx!B1</f>
        <v>0.9</v>
      </c>
      <c r="H91" s="145"/>
      <c r="I91" s="63"/>
      <c r="J91" s="63"/>
      <c r="K91" s="63"/>
      <c r="L91" s="63"/>
      <c r="M91" s="63"/>
      <c r="N91" s="63"/>
      <c r="O91" s="63"/>
      <c r="P91" s="63"/>
      <c r="Q91" s="63"/>
      <c r="R91" s="63"/>
      <c r="S91" s="63"/>
      <c r="T91" s="63"/>
      <c r="U91" s="63"/>
    </row>
    <row r="92" spans="3:24" s="13" customFormat="1" ht="16.8" hidden="1">
      <c r="C92" s="11"/>
      <c r="D92" s="11"/>
      <c r="E92" s="11"/>
      <c r="F92" s="91" t="s">
        <v>85</v>
      </c>
      <c r="G92" s="145">
        <f>receivesTx!B2</f>
        <v>0.8</v>
      </c>
      <c r="H92" s="145"/>
      <c r="I92" s="63"/>
      <c r="J92" s="63"/>
      <c r="K92" s="63"/>
      <c r="L92" s="63"/>
      <c r="M92" s="63"/>
      <c r="N92" s="63"/>
      <c r="O92" s="63"/>
      <c r="P92" s="63"/>
      <c r="Q92" s="63"/>
      <c r="R92" s="63"/>
      <c r="S92" s="63"/>
      <c r="T92" s="63"/>
      <c r="U92" s="63"/>
    </row>
    <row r="93" spans="3:24" s="13" customFormat="1" ht="16.8" hidden="1">
      <c r="C93" s="11"/>
      <c r="D93" s="11"/>
      <c r="E93" s="11"/>
      <c r="F93" s="91" t="s">
        <v>86</v>
      </c>
      <c r="G93" s="145">
        <f>receivesTx!B3</f>
        <v>0.6</v>
      </c>
      <c r="H93" s="145"/>
      <c r="I93" s="63"/>
      <c r="J93" s="63"/>
      <c r="K93" s="63"/>
      <c r="L93" s="63"/>
      <c r="M93" s="63"/>
      <c r="N93" s="63"/>
      <c r="O93" s="63"/>
      <c r="P93" s="63"/>
      <c r="Q93" s="63"/>
      <c r="R93" s="63"/>
      <c r="S93" s="63"/>
      <c r="T93" s="63"/>
      <c r="U93" s="63"/>
    </row>
    <row r="94" spans="3:24" s="13" customFormat="1" ht="16.8" hidden="1" customHeight="1">
      <c r="C94" s="11"/>
      <c r="D94" s="11"/>
      <c r="E94" s="11"/>
      <c r="F94" s="91" t="s">
        <v>87</v>
      </c>
      <c r="G94" s="145">
        <f>receivesTx!B4</f>
        <v>0.5</v>
      </c>
      <c r="H94" s="145"/>
      <c r="I94" s="63"/>
      <c r="J94" s="63"/>
      <c r="K94" s="63"/>
      <c r="L94" s="63"/>
      <c r="M94" s="63"/>
      <c r="N94" s="63"/>
      <c r="O94" s="63"/>
      <c r="P94" s="63"/>
      <c r="Q94" s="63"/>
      <c r="R94" s="63"/>
      <c r="S94" s="63"/>
      <c r="T94" s="63"/>
      <c r="U94" s="63"/>
    </row>
    <row r="95" spans="3:24" s="13" customFormat="1" ht="16.8" hidden="1" customHeight="1">
      <c r="C95" s="11"/>
      <c r="D95" s="11"/>
      <c r="E95" s="11"/>
      <c r="F95" s="91" t="s">
        <v>88</v>
      </c>
      <c r="G95" s="145">
        <f>receivesTx!B5</f>
        <v>0.5</v>
      </c>
      <c r="H95" s="145"/>
      <c r="I95" s="63"/>
      <c r="J95" s="63"/>
      <c r="K95" s="63"/>
      <c r="L95" s="63"/>
      <c r="M95" s="63"/>
      <c r="N95" s="63"/>
      <c r="O95" s="63"/>
      <c r="P95" s="63"/>
      <c r="Q95" s="63"/>
      <c r="R95" s="63"/>
      <c r="S95" s="63"/>
      <c r="T95" s="63"/>
      <c r="U95" s="63"/>
    </row>
    <row r="96" spans="3:24" s="13" customFormat="1" ht="16.8" hidden="1" customHeight="1" thickBot="1">
      <c r="C96" s="11"/>
      <c r="D96" s="11"/>
      <c r="E96" s="11"/>
      <c r="F96" s="92" t="s">
        <v>89</v>
      </c>
      <c r="G96" s="165">
        <f>receivesTx!B6</f>
        <v>0.1</v>
      </c>
      <c r="H96" s="165"/>
      <c r="I96" s="64"/>
      <c r="J96" s="64"/>
      <c r="K96" s="64"/>
      <c r="L96" s="64"/>
      <c r="M96" s="64"/>
      <c r="N96" s="64"/>
      <c r="O96" s="64"/>
      <c r="P96" s="64"/>
      <c r="Q96" s="64"/>
      <c r="R96" s="64"/>
      <c r="S96" s="64"/>
      <c r="T96" s="64"/>
      <c r="U96" s="64"/>
    </row>
    <row r="97" spans="3:36" s="13" customFormat="1" ht="16.8" hidden="1">
      <c r="C97" s="6"/>
      <c r="D97" s="11"/>
      <c r="E97" s="11"/>
      <c r="F97" s="11"/>
      <c r="G97" s="141"/>
      <c r="H97" s="141"/>
      <c r="I97" s="66"/>
      <c r="J97" s="66"/>
      <c r="K97" s="66"/>
      <c r="L97" s="66"/>
      <c r="M97" s="66"/>
      <c r="N97" s="66"/>
      <c r="O97" s="66"/>
      <c r="P97" s="66"/>
      <c r="Q97" s="66"/>
      <c r="R97" s="66"/>
      <c r="S97" s="66"/>
      <c r="T97" s="66"/>
      <c r="U97" s="66"/>
    </row>
    <row r="98" spans="3:36" ht="19.2" hidden="1">
      <c r="C98" s="19" t="s">
        <v>22</v>
      </c>
      <c r="D98" s="10"/>
      <c r="E98" s="10"/>
      <c r="F98" s="86" t="s">
        <v>23</v>
      </c>
      <c r="G98" s="86"/>
      <c r="H98" s="86">
        <f>IF(F23 = "New CKD Scenario", 0, 1)</f>
        <v>1</v>
      </c>
      <c r="I98" s="68"/>
      <c r="J98" s="68"/>
      <c r="K98" s="68"/>
      <c r="L98" s="68"/>
      <c r="M98" s="68"/>
      <c r="N98" s="69"/>
      <c r="O98" s="69"/>
      <c r="P98" s="69"/>
      <c r="Q98" s="69"/>
      <c r="R98" s="69"/>
      <c r="S98" s="67"/>
      <c r="T98" s="67"/>
      <c r="U98" s="70"/>
    </row>
    <row r="99" spans="3:36" ht="16.8" hidden="1">
      <c r="C99" s="11" t="s">
        <v>174</v>
      </c>
      <c r="D99" s="6"/>
      <c r="E99" s="6"/>
      <c r="F99" s="83"/>
      <c r="G99" s="146">
        <f>AVERAGE(simPy_sheet!AI57:AI62)</f>
        <v>0.19999999999999998</v>
      </c>
      <c r="H99" s="147"/>
      <c r="I99" s="71"/>
      <c r="J99" s="71"/>
      <c r="K99" s="71"/>
      <c r="L99" s="71"/>
      <c r="M99" s="71"/>
      <c r="N99" s="71"/>
      <c r="O99" s="71"/>
      <c r="P99" s="71"/>
      <c r="Q99" s="72"/>
      <c r="R99" s="72"/>
      <c r="S99" s="72"/>
      <c r="T99" s="72"/>
      <c r="U99" s="73"/>
    </row>
    <row r="100" spans="3:36" ht="16.8">
      <c r="C100" s="11"/>
      <c r="D100" s="11"/>
      <c r="E100" s="11"/>
      <c r="F100" s="6"/>
      <c r="G100" s="6"/>
      <c r="H100" s="6"/>
      <c r="I100" s="6"/>
      <c r="J100" s="6"/>
      <c r="K100" s="6"/>
      <c r="L100" s="6"/>
      <c r="U100" s="78"/>
    </row>
    <row r="101" spans="3:36" s="13" customFormat="1" ht="16.95" customHeight="1">
      <c r="C101" s="19" t="s">
        <v>22</v>
      </c>
      <c r="D101" s="10"/>
      <c r="E101" s="10"/>
      <c r="F101" s="86" t="s">
        <v>23</v>
      </c>
      <c r="G101" s="86"/>
      <c r="H101" s="86">
        <f>IF(F23 = "New CKD Scenario", 0, 1)</f>
        <v>1</v>
      </c>
      <c r="I101" s="10"/>
      <c r="J101" s="10"/>
      <c r="K101" s="10"/>
      <c r="L101" s="10"/>
      <c r="M101" s="10"/>
      <c r="N101" s="8"/>
      <c r="O101" s="8"/>
      <c r="P101" s="8"/>
      <c r="Q101" s="8"/>
      <c r="R101" s="8"/>
      <c r="S101" s="9"/>
      <c r="T101" s="9"/>
      <c r="U101" s="78"/>
      <c r="V101" s="9"/>
      <c r="W101" s="9"/>
      <c r="X101" s="9"/>
      <c r="Y101" s="9"/>
      <c r="Z101" s="9"/>
      <c r="AA101" s="9"/>
      <c r="AB101" s="9"/>
      <c r="AC101" s="9"/>
      <c r="AD101" s="9"/>
      <c r="AE101" s="9"/>
      <c r="AF101" s="9"/>
      <c r="AG101" s="9"/>
      <c r="AH101" s="9"/>
      <c r="AI101" s="9"/>
      <c r="AJ101" s="9"/>
    </row>
    <row r="102" spans="3:36" s="13" customFormat="1" ht="16.95" customHeight="1">
      <c r="C102" s="43"/>
      <c r="D102" s="6"/>
      <c r="E102" s="6"/>
      <c r="F102" s="83"/>
      <c r="G102" s="83"/>
      <c r="H102" s="83"/>
      <c r="I102" s="6"/>
      <c r="J102" s="6"/>
      <c r="K102" s="6"/>
      <c r="L102" s="6"/>
      <c r="M102" s="6"/>
      <c r="N102" s="9"/>
      <c r="O102" s="9"/>
      <c r="P102" s="9"/>
      <c r="Q102" s="9"/>
      <c r="R102" s="9"/>
      <c r="S102" s="9"/>
      <c r="T102" s="9"/>
      <c r="U102" s="78"/>
      <c r="V102" s="9"/>
      <c r="W102" s="9"/>
      <c r="X102" s="9"/>
      <c r="Y102" s="9"/>
      <c r="Z102" s="9"/>
      <c r="AA102" s="9"/>
      <c r="AB102" s="9"/>
      <c r="AC102" s="9"/>
      <c r="AD102" s="9"/>
      <c r="AE102" s="9"/>
      <c r="AF102" s="9"/>
      <c r="AG102" s="9"/>
      <c r="AH102" s="9"/>
      <c r="AI102" s="9"/>
      <c r="AJ102" s="9"/>
    </row>
    <row r="103" spans="3:36" ht="32.4" customHeight="1">
      <c r="C103" s="143" t="s">
        <v>178</v>
      </c>
      <c r="D103" s="143"/>
      <c r="E103" s="143"/>
      <c r="F103" s="143"/>
      <c r="G103" s="143"/>
      <c r="H103" s="143"/>
      <c r="I103" s="143"/>
      <c r="J103" s="143"/>
      <c r="K103" s="143"/>
      <c r="L103" s="143"/>
      <c r="M103" s="143"/>
      <c r="N103" s="143"/>
      <c r="O103" s="143"/>
      <c r="P103" s="143"/>
      <c r="Q103" s="143"/>
      <c r="R103" s="143"/>
      <c r="U103" s="78"/>
    </row>
    <row r="104" spans="3:36" ht="16.8">
      <c r="C104" s="87"/>
      <c r="D104" s="87"/>
      <c r="E104" s="87"/>
      <c r="F104" s="87"/>
      <c r="G104" s="87"/>
      <c r="H104" s="87"/>
      <c r="I104" s="87"/>
      <c r="J104" s="87"/>
      <c r="K104" s="87"/>
      <c r="L104" s="87"/>
      <c r="M104" s="13"/>
      <c r="N104" s="13"/>
      <c r="O104" s="13"/>
      <c r="P104" s="13"/>
      <c r="Q104" s="13"/>
      <c r="R104" s="13"/>
      <c r="S104" s="13"/>
      <c r="U104" s="78"/>
    </row>
    <row r="105" spans="3:36" ht="16.8">
      <c r="C105" s="6"/>
      <c r="D105" s="6"/>
      <c r="E105" s="6"/>
      <c r="F105" s="88">
        <v>2023</v>
      </c>
      <c r="G105" s="88">
        <v>2024</v>
      </c>
      <c r="H105" s="88">
        <v>2025</v>
      </c>
      <c r="I105" s="88">
        <v>2026</v>
      </c>
      <c r="J105" s="88">
        <v>2027</v>
      </c>
      <c r="K105" s="88">
        <v>2028</v>
      </c>
      <c r="L105" s="88">
        <v>2029</v>
      </c>
      <c r="M105" s="88">
        <v>2030</v>
      </c>
      <c r="N105" s="88">
        <v>2031</v>
      </c>
      <c r="O105" s="88">
        <v>2032</v>
      </c>
      <c r="P105" s="88">
        <v>2033</v>
      </c>
      <c r="Q105" s="88">
        <v>2034</v>
      </c>
      <c r="R105" s="88">
        <v>2035</v>
      </c>
      <c r="S105" s="13"/>
      <c r="T105"/>
      <c r="U105" s="78"/>
    </row>
    <row r="106" spans="3:36" ht="16.8">
      <c r="C106" s="12" t="s">
        <v>24</v>
      </c>
      <c r="D106" s="12"/>
      <c r="E106" s="12"/>
      <c r="F106" s="89">
        <f>simPy_sheet!B5</f>
        <v>0.5</v>
      </c>
      <c r="G106" s="89">
        <f>simPy_sheet!C5</f>
        <v>0.5</v>
      </c>
      <c r="H106" s="89">
        <f>simPy_sheet!D5</f>
        <v>0.5</v>
      </c>
      <c r="I106" s="89">
        <f>simPy_sheet!E5</f>
        <v>0.5</v>
      </c>
      <c r="J106" s="89">
        <f>simPy_sheet!F5</f>
        <v>0.5</v>
      </c>
      <c r="K106" s="89">
        <f>simPy_sheet!G5</f>
        <v>0.5</v>
      </c>
      <c r="L106" s="89">
        <f>simPy_sheet!H5</f>
        <v>0.5</v>
      </c>
      <c r="M106" s="89">
        <f>simPy_sheet!I5</f>
        <v>0.5</v>
      </c>
      <c r="N106" s="89">
        <f>simPy_sheet!J5</f>
        <v>0.5</v>
      </c>
      <c r="O106" s="89">
        <f>simPy_sheet!K5</f>
        <v>0.5</v>
      </c>
      <c r="P106" s="89">
        <f>simPy_sheet!L5</f>
        <v>0.5</v>
      </c>
      <c r="Q106" s="89">
        <f>simPy_sheet!M5</f>
        <v>0.5</v>
      </c>
      <c r="R106" s="89">
        <f>simPy_sheet!N5</f>
        <v>0.5</v>
      </c>
      <c r="S106" s="13"/>
      <c r="T106"/>
      <c r="U106" s="78"/>
    </row>
    <row r="107" spans="3:36" ht="16.8">
      <c r="C107" s="11" t="s">
        <v>177</v>
      </c>
      <c r="D107" s="11"/>
      <c r="E107" s="82"/>
      <c r="F107" s="74"/>
      <c r="G107" s="75"/>
      <c r="H107" s="75"/>
      <c r="I107" s="75"/>
      <c r="J107" s="75"/>
      <c r="K107" s="75"/>
      <c r="L107" s="75"/>
      <c r="M107" s="75"/>
      <c r="N107" s="75"/>
      <c r="O107" s="75"/>
      <c r="P107" s="75"/>
      <c r="Q107" s="75"/>
      <c r="R107" s="76"/>
      <c r="S107"/>
      <c r="T107"/>
      <c r="U107" s="78"/>
    </row>
    <row r="108" spans="3:36" ht="16.8">
      <c r="C108" s="11" t="s">
        <v>25</v>
      </c>
      <c r="D108" s="11"/>
      <c r="E108" s="11"/>
      <c r="F108" s="77" t="str">
        <f>IF(F107&gt;0,daily_rate!N2,"")</f>
        <v/>
      </c>
      <c r="G108" s="77" t="str">
        <f>IF(G107&gt;0,daily_rate!O2,"")</f>
        <v/>
      </c>
      <c r="H108" s="77" t="str">
        <f>IF(H107&gt;0,daily_rate!P2,"")</f>
        <v/>
      </c>
      <c r="I108" s="77" t="str">
        <f>IF(I107&gt;0,daily_rate!Q2,"")</f>
        <v/>
      </c>
      <c r="J108" s="77" t="str">
        <f>IF(J107&gt;0,daily_rate!R2,"")</f>
        <v/>
      </c>
      <c r="K108" s="77" t="str">
        <f>IF(K107&gt;0,daily_rate!S2,"")</f>
        <v/>
      </c>
      <c r="L108" s="77" t="str">
        <f>IF(L107&gt;0,daily_rate!T2,"")</f>
        <v/>
      </c>
      <c r="M108" s="77" t="str">
        <f>IF(M107&gt;0,daily_rate!U2,"")</f>
        <v/>
      </c>
      <c r="N108" s="77" t="str">
        <f>IF(N107&gt;0,daily_rate!V2,"")</f>
        <v/>
      </c>
      <c r="O108" s="77" t="str">
        <f>IF(O107&gt;0,daily_rate!W2,"")</f>
        <v/>
      </c>
      <c r="P108" s="77" t="str">
        <f>IF(P107&gt;0,daily_rate!X2,"")</f>
        <v/>
      </c>
      <c r="Q108" s="77" t="str">
        <f>IF(Q107&gt;0,daily_rate!Y2,"")</f>
        <v/>
      </c>
      <c r="R108" s="77" t="str">
        <f>IF(R107&gt;0,daily_rate!Z2,"")</f>
        <v/>
      </c>
      <c r="S108" s="13"/>
      <c r="T108"/>
      <c r="U108" s="78"/>
    </row>
    <row r="109" spans="3:36" ht="16.8">
      <c r="C109" s="11"/>
      <c r="D109" s="11"/>
      <c r="E109" s="11"/>
      <c r="F109" s="11"/>
      <c r="G109" s="136"/>
      <c r="H109" s="136"/>
      <c r="I109" s="136"/>
      <c r="J109" s="79" t="s">
        <v>19</v>
      </c>
      <c r="K109" s="80"/>
      <c r="L109" s="80"/>
      <c r="M109" s="13"/>
      <c r="N109" s="13"/>
      <c r="O109" s="81" t="str">
        <f>IF(P107&gt;0,daily_rate!X4,"")</f>
        <v/>
      </c>
      <c r="P109" s="13"/>
      <c r="Q109" s="13"/>
      <c r="R109" s="13"/>
      <c r="S109" s="13"/>
      <c r="T109"/>
      <c r="U109" s="78"/>
    </row>
    <row r="110" spans="3:36" ht="16.8" customHeight="1">
      <c r="C110"/>
      <c r="D110"/>
      <c r="E110"/>
      <c r="F110"/>
      <c r="G110"/>
      <c r="H110"/>
      <c r="I110"/>
      <c r="J110"/>
      <c r="K110"/>
      <c r="L110"/>
      <c r="M110"/>
      <c r="N110"/>
      <c r="O110"/>
      <c r="P110"/>
      <c r="Q110"/>
      <c r="R110"/>
      <c r="S110"/>
      <c r="T110"/>
      <c r="U110" s="78"/>
    </row>
    <row r="111" spans="3:36">
      <c r="C111"/>
      <c r="D111"/>
      <c r="E111"/>
      <c r="F111"/>
      <c r="G111"/>
      <c r="H111"/>
      <c r="I111"/>
      <c r="J111"/>
      <c r="K111"/>
      <c r="L111"/>
      <c r="M111"/>
      <c r="N111"/>
      <c r="O111"/>
      <c r="P111"/>
      <c r="Q111"/>
      <c r="R111"/>
      <c r="S111"/>
      <c r="T111"/>
      <c r="U111" s="78"/>
    </row>
    <row r="112" spans="3:36">
      <c r="C112"/>
      <c r="D112"/>
      <c r="E112"/>
      <c r="F112"/>
      <c r="G112"/>
      <c r="H112"/>
      <c r="I112"/>
      <c r="J112"/>
      <c r="K112"/>
      <c r="L112"/>
      <c r="M112"/>
      <c r="N112"/>
      <c r="O112"/>
      <c r="P112"/>
      <c r="Q112"/>
      <c r="R112"/>
      <c r="S112"/>
      <c r="T112"/>
    </row>
    <row r="113" spans="3:20">
      <c r="C113"/>
      <c r="D113"/>
      <c r="E113"/>
      <c r="F113"/>
      <c r="G113"/>
      <c r="H113"/>
      <c r="I113"/>
      <c r="J113"/>
      <c r="K113"/>
      <c r="L113"/>
      <c r="M113"/>
      <c r="N113"/>
      <c r="O113"/>
      <c r="P113"/>
      <c r="Q113"/>
      <c r="R113"/>
      <c r="S113"/>
      <c r="T113"/>
    </row>
    <row r="114" spans="3:20">
      <c r="C114"/>
      <c r="D114"/>
      <c r="E114"/>
      <c r="F114"/>
      <c r="G114"/>
      <c r="H114"/>
      <c r="I114"/>
      <c r="J114"/>
      <c r="K114"/>
      <c r="L114"/>
      <c r="M114"/>
      <c r="N114"/>
      <c r="O114"/>
      <c r="P114"/>
      <c r="Q114"/>
      <c r="R114"/>
      <c r="S114"/>
      <c r="T114"/>
    </row>
    <row r="115" spans="3:20">
      <c r="C115"/>
      <c r="D115"/>
      <c r="E115"/>
      <c r="F115"/>
      <c r="G115"/>
      <c r="H115"/>
      <c r="I115"/>
      <c r="J115"/>
      <c r="K115"/>
      <c r="L115"/>
      <c r="M115"/>
      <c r="N115"/>
      <c r="O115"/>
      <c r="P115"/>
      <c r="Q115"/>
      <c r="R115"/>
      <c r="S115"/>
      <c r="T115"/>
    </row>
    <row r="116" spans="3:20">
      <c r="C116"/>
      <c r="D116"/>
      <c r="E116"/>
      <c r="F116"/>
      <c r="G116"/>
      <c r="H116"/>
      <c r="I116"/>
      <c r="J116"/>
      <c r="K116"/>
      <c r="L116"/>
      <c r="M116"/>
      <c r="N116"/>
      <c r="O116"/>
      <c r="P116"/>
      <c r="Q116"/>
      <c r="R116"/>
      <c r="S116"/>
      <c r="T116"/>
    </row>
    <row r="117" spans="3:20">
      <c r="C117"/>
      <c r="D117"/>
      <c r="E117"/>
      <c r="F117"/>
      <c r="G117"/>
      <c r="H117"/>
      <c r="I117"/>
      <c r="J117"/>
      <c r="K117"/>
      <c r="L117"/>
      <c r="M117"/>
      <c r="N117"/>
      <c r="O117"/>
      <c r="P117"/>
      <c r="Q117"/>
      <c r="R117"/>
      <c r="S117"/>
      <c r="T117"/>
    </row>
    <row r="118" spans="3:20">
      <c r="C118"/>
      <c r="D118"/>
      <c r="E118"/>
      <c r="F118"/>
      <c r="G118"/>
      <c r="H118"/>
      <c r="I118"/>
      <c r="J118"/>
      <c r="K118"/>
      <c r="L118"/>
      <c r="M118"/>
      <c r="N118"/>
      <c r="O118"/>
      <c r="P118"/>
      <c r="Q118"/>
      <c r="R118"/>
      <c r="S118"/>
    </row>
  </sheetData>
  <mergeCells count="75">
    <mergeCell ref="G84:H84"/>
    <mergeCell ref="G79:H79"/>
    <mergeCell ref="G80:H80"/>
    <mergeCell ref="G81:H81"/>
    <mergeCell ref="G82:H82"/>
    <mergeCell ref="G83:H83"/>
    <mergeCell ref="C73:L73"/>
    <mergeCell ref="G75:H75"/>
    <mergeCell ref="G76:H76"/>
    <mergeCell ref="G77:H77"/>
    <mergeCell ref="G78:H78"/>
    <mergeCell ref="G94:H94"/>
    <mergeCell ref="G95:H95"/>
    <mergeCell ref="G96:H96"/>
    <mergeCell ref="Y45:AJ45"/>
    <mergeCell ref="T26:U26"/>
    <mergeCell ref="V26:X26"/>
    <mergeCell ref="T27:U27"/>
    <mergeCell ref="V27:X27"/>
    <mergeCell ref="T28:U28"/>
    <mergeCell ref="V28:X28"/>
    <mergeCell ref="T29:U29"/>
    <mergeCell ref="V29:X29"/>
    <mergeCell ref="T30:U30"/>
    <mergeCell ref="V30:X30"/>
    <mergeCell ref="T31:U31"/>
    <mergeCell ref="V31:X31"/>
    <mergeCell ref="C18:L18"/>
    <mergeCell ref="N18:X18"/>
    <mergeCell ref="F20:L20"/>
    <mergeCell ref="R20:X20"/>
    <mergeCell ref="F21:L21"/>
    <mergeCell ref="R21:X21"/>
    <mergeCell ref="F22:L22"/>
    <mergeCell ref="F23:L23"/>
    <mergeCell ref="R23:X23"/>
    <mergeCell ref="T25:U25"/>
    <mergeCell ref="V25:X25"/>
    <mergeCell ref="C35:L35"/>
    <mergeCell ref="G38:H38"/>
    <mergeCell ref="G36:H37"/>
    <mergeCell ref="I36:U36"/>
    <mergeCell ref="G39:H39"/>
    <mergeCell ref="G61:H61"/>
    <mergeCell ref="G67:H67"/>
    <mergeCell ref="G62:H62"/>
    <mergeCell ref="G63:H63"/>
    <mergeCell ref="G64:H64"/>
    <mergeCell ref="G109:I109"/>
    <mergeCell ref="G65:H65"/>
    <mergeCell ref="G66:H66"/>
    <mergeCell ref="G97:H97"/>
    <mergeCell ref="I89:U89"/>
    <mergeCell ref="G68:H68"/>
    <mergeCell ref="G69:H69"/>
    <mergeCell ref="C103:R103"/>
    <mergeCell ref="C88:L88"/>
    <mergeCell ref="G90:H90"/>
    <mergeCell ref="G91:H91"/>
    <mergeCell ref="G92:H92"/>
    <mergeCell ref="G99:H99"/>
    <mergeCell ref="G93:H93"/>
    <mergeCell ref="G49:H49"/>
    <mergeCell ref="G52:H52"/>
    <mergeCell ref="C57:L57"/>
    <mergeCell ref="I59:U59"/>
    <mergeCell ref="G40:H40"/>
    <mergeCell ref="I47:U47"/>
    <mergeCell ref="G47:H48"/>
    <mergeCell ref="G59:H60"/>
    <mergeCell ref="G50:H50"/>
    <mergeCell ref="G51:H51"/>
    <mergeCell ref="C45:L45"/>
    <mergeCell ref="G53:H53"/>
    <mergeCell ref="G54:H54"/>
  </mergeCells>
  <conditionalFormatting sqref="C98:S98 A91:B100 C99:G99 I99:S99 F100:S100 S103 A103:B105 C104:S106 C107:E107 R107:S107 C108:S109">
    <cfRule type="expression" dxfId="9" priority="6">
      <formula>$H$101=1</formula>
    </cfRule>
  </conditionalFormatting>
  <conditionalFormatting sqref="A101:B102">
    <cfRule type="expression" dxfId="8" priority="3">
      <formula>$H$103=1</formula>
    </cfRule>
  </conditionalFormatting>
  <conditionalFormatting sqref="C101:R103">
    <cfRule type="expression" dxfId="7" priority="1">
      <formula>$H$101=1</formula>
    </cfRule>
  </conditionalFormatting>
  <conditionalFormatting sqref="F107:Q107">
    <cfRule type="expression" dxfId="6" priority="5">
      <formula>$H$101=1</formula>
    </cfRule>
  </conditionalFormatting>
  <conditionalFormatting sqref="K53:M54">
    <cfRule type="expression" dxfId="5" priority="39">
      <formula>$K$52&gt;1</formula>
    </cfRule>
    <cfRule type="expression" dxfId="4" priority="40">
      <formula>$K$52&lt;0</formula>
    </cfRule>
    <cfRule type="expression" dxfId="3" priority="43">
      <formula>$K$49&lt;0</formula>
    </cfRule>
    <cfRule type="expression" dxfId="2" priority="44">
      <formula>$K$49&gt;1</formula>
    </cfRule>
  </conditionalFormatting>
  <conditionalFormatting sqref="N105:R106">
    <cfRule type="expression" dxfId="1" priority="10">
      <formula>$H$101=1</formula>
    </cfRule>
  </conditionalFormatting>
  <pageMargins left="0.7" right="0.7" top="0.75" bottom="0.75" header="0.3" footer="0.3"/>
  <ignoredErrors>
    <ignoredError sqref="I39:U39 I68:U69 I77:U78 I80:U83 I79:L79" unlockedFormula="1"/>
  </ignoredErrors>
  <drawing r:id="rId1"/>
  <extLst>
    <ext xmlns:x14="http://schemas.microsoft.com/office/spreadsheetml/2009/9/main" uri="{CCE6A557-97BC-4b89-ADB6-D9C93CAAB3DF}">
      <x14:dataValidations xmlns:xm="http://schemas.microsoft.com/office/excel/2006/main" count="4">
        <x14:dataValidation type="list" allowBlank="1" showInputMessage="1" showErrorMessage="1" xr:uid="{3E79EAE5-773C-4A91-9E9B-FE1676903897}">
          <x14:formula1>
            <xm:f>'Hide Selection Settings'!$A$2</xm:f>
          </x14:formula1>
          <xm:sqref>F20:L20</xm:sqref>
        </x14:dataValidation>
        <x14:dataValidation type="list" allowBlank="1" showInputMessage="1" showErrorMessage="1" xr:uid="{3A2B7C24-4D0B-4A85-B633-5397C93A4338}">
          <x14:formula1>
            <xm:f>'Hide Selection Settings'!$B$2:$B$2</xm:f>
          </x14:formula1>
          <xm:sqref>F21:L21</xm:sqref>
        </x14:dataValidation>
        <x14:dataValidation type="list" allowBlank="1" showInputMessage="1" showErrorMessage="1" xr:uid="{F8896495-955C-4DF8-8D39-B6EBA3E180FE}">
          <x14:formula1>
            <xm:f>'Hide Selection Settings'!$C$2:$C$3</xm:f>
          </x14:formula1>
          <xm:sqref>F23:L23</xm:sqref>
        </x14:dataValidation>
        <x14:dataValidation type="list" allowBlank="1" showInputMessage="1" showErrorMessage="1" xr:uid="{BBCD60D4-2719-4DCC-B711-CA1CFEFF34B9}">
          <x14:formula1>
            <xm:f>'Hide Selection Settings'!#REF!</xm:f>
          </x14:formula1>
          <xm:sqref>R20:X20 F22:L22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31C4-7264-4E53-B217-7B75F55626B7}">
  <sheetPr codeName="Sheet9">
    <tabColor theme="3"/>
  </sheetPr>
  <dimension ref="A12:AA102"/>
  <sheetViews>
    <sheetView showGridLines="0" zoomScale="70" zoomScaleNormal="70" workbookViewId="0">
      <selection activeCell="L44" sqref="L44"/>
    </sheetView>
  </sheetViews>
  <sheetFormatPr defaultColWidth="9.6640625" defaultRowHeight="15"/>
  <cols>
    <col min="1" max="1" width="10.109375" style="9" customWidth="1"/>
    <col min="2" max="2" width="7.44140625" style="9" customWidth="1"/>
    <col min="3" max="3" width="13.88671875" style="9" customWidth="1"/>
    <col min="4" max="5" width="10.109375" style="9" customWidth="1"/>
    <col min="6" max="6" width="10.6640625" style="9" customWidth="1"/>
    <col min="7" max="7" width="10.109375" style="9" customWidth="1"/>
    <col min="8" max="8" width="10.6640625" style="9" customWidth="1"/>
    <col min="9" max="9" width="10.109375" style="9" customWidth="1"/>
    <col min="10" max="10" width="8.33203125" style="9" customWidth="1"/>
    <col min="11" max="11" width="10.109375" style="9" customWidth="1"/>
    <col min="12" max="12" width="9.5546875" style="9" customWidth="1"/>
    <col min="13" max="13" width="10.6640625" style="9" customWidth="1"/>
    <col min="14" max="14" width="10.109375" style="9" customWidth="1"/>
    <col min="15" max="15" width="12" style="9" customWidth="1"/>
    <col min="16" max="16" width="13.109375" style="9" customWidth="1"/>
    <col min="17" max="17" width="12.6640625" style="9" customWidth="1"/>
    <col min="18" max="18" width="13.44140625" style="9" customWidth="1"/>
    <col min="19" max="19" width="13.6640625" style="9" customWidth="1"/>
    <col min="20" max="20" width="12.6640625" style="9" customWidth="1"/>
    <col min="21" max="21" width="10.6640625" style="9" customWidth="1"/>
    <col min="22" max="23" width="12.33203125" style="9" customWidth="1"/>
    <col min="24" max="25" width="10.109375" style="9" customWidth="1"/>
    <col min="26" max="27" width="10.109375" style="9" hidden="1" customWidth="1"/>
    <col min="28" max="16384" width="9.6640625" style="9"/>
  </cols>
  <sheetData>
    <row r="12" spans="3:24" ht="24.6">
      <c r="C12" s="7" t="s">
        <v>26</v>
      </c>
      <c r="D12" s="8"/>
      <c r="E12" s="8"/>
      <c r="F12" s="8"/>
      <c r="G12" s="8"/>
      <c r="H12" s="8"/>
      <c r="I12" s="8"/>
      <c r="J12" s="8"/>
      <c r="K12" s="8"/>
      <c r="L12" s="8"/>
      <c r="M12" s="8"/>
      <c r="N12" s="8"/>
      <c r="O12" s="8"/>
      <c r="P12" s="8"/>
      <c r="Q12" s="8"/>
      <c r="R12" s="8"/>
      <c r="S12" s="8"/>
      <c r="T12" s="8"/>
      <c r="U12" s="8"/>
      <c r="V12" s="8"/>
      <c r="W12" s="8"/>
      <c r="X12" s="8"/>
    </row>
    <row r="14" spans="3:24" ht="19.2">
      <c r="C14" s="19" t="s">
        <v>27</v>
      </c>
      <c r="D14" s="10"/>
      <c r="E14" s="10"/>
      <c r="F14" s="10"/>
      <c r="G14" s="10"/>
      <c r="H14" s="10"/>
      <c r="I14" s="10"/>
      <c r="J14" s="10"/>
      <c r="K14" s="10"/>
      <c r="L14" s="10"/>
      <c r="M14" s="6"/>
      <c r="O14" s="19" t="s">
        <v>28</v>
      </c>
      <c r="P14" s="10"/>
      <c r="Q14" s="10"/>
      <c r="R14" s="10"/>
      <c r="S14" s="10"/>
      <c r="T14" s="10"/>
      <c r="U14" s="10"/>
      <c r="V14" s="10"/>
      <c r="W14" s="10"/>
      <c r="X14" s="10"/>
    </row>
    <row r="15" spans="3:24" ht="8.4" customHeight="1">
      <c r="C15" s="6"/>
      <c r="D15" s="6"/>
      <c r="E15" s="6"/>
      <c r="F15" s="6"/>
      <c r="G15" s="6"/>
      <c r="H15" s="6"/>
      <c r="I15" s="6"/>
      <c r="J15" s="6"/>
      <c r="K15" s="6"/>
      <c r="L15" s="6"/>
      <c r="M15" s="6"/>
    </row>
    <row r="16" spans="3:24" ht="36.6" customHeight="1">
      <c r="C16" s="143" t="s">
        <v>76</v>
      </c>
      <c r="D16" s="143"/>
      <c r="E16" s="143"/>
      <c r="F16" s="143"/>
      <c r="G16" s="143"/>
      <c r="H16" s="143"/>
      <c r="I16" s="143"/>
      <c r="J16" s="143"/>
      <c r="K16" s="143"/>
      <c r="L16" s="143"/>
      <c r="M16" s="6"/>
      <c r="O16" s="143" t="s">
        <v>29</v>
      </c>
      <c r="P16" s="143"/>
      <c r="Q16" s="143"/>
      <c r="R16" s="143"/>
      <c r="S16" s="143"/>
      <c r="T16" s="143"/>
      <c r="U16" s="143"/>
      <c r="V16" s="143"/>
      <c r="W16" s="143"/>
      <c r="X16" s="143"/>
    </row>
    <row r="17" spans="3:27" s="16" customFormat="1" ht="34.950000000000003" customHeight="1">
      <c r="C17" s="15"/>
      <c r="D17" s="15"/>
      <c r="E17" s="15"/>
      <c r="F17" s="15"/>
      <c r="G17" s="133" t="s">
        <v>30</v>
      </c>
      <c r="H17" s="133"/>
      <c r="I17" s="132" t="s">
        <v>31</v>
      </c>
      <c r="J17" s="132"/>
      <c r="K17" s="132" t="s">
        <v>18</v>
      </c>
      <c r="L17" s="132"/>
      <c r="M17" s="15"/>
      <c r="O17" s="23"/>
      <c r="P17" s="23"/>
      <c r="Q17" s="23"/>
      <c r="R17" s="24"/>
      <c r="S17" s="24"/>
      <c r="T17" s="24"/>
      <c r="U17" s="210" t="s">
        <v>30</v>
      </c>
      <c r="V17" s="210"/>
      <c r="W17" s="209" t="s">
        <v>18</v>
      </c>
      <c r="X17" s="209"/>
      <c r="Z17" s="27" t="s">
        <v>32</v>
      </c>
      <c r="AA17" s="27"/>
    </row>
    <row r="18" spans="3:27" ht="19.2">
      <c r="C18" s="12" t="s">
        <v>33</v>
      </c>
      <c r="D18" s="12"/>
      <c r="E18" s="12"/>
      <c r="F18" s="12"/>
      <c r="G18" s="178">
        <v>62842.05</v>
      </c>
      <c r="H18" s="179"/>
      <c r="I18" s="186"/>
      <c r="J18" s="181"/>
      <c r="K18" s="185">
        <f>IF(I18="", G18, I18)</f>
        <v>62842.05</v>
      </c>
      <c r="L18" s="185"/>
      <c r="M18" s="6"/>
      <c r="O18" s="211" t="s">
        <v>34</v>
      </c>
      <c r="P18" s="212"/>
      <c r="Q18" s="33" t="s">
        <v>33</v>
      </c>
      <c r="R18" s="33"/>
      <c r="S18" s="33"/>
      <c r="T18" s="33"/>
      <c r="U18" s="191">
        <v>62842.05</v>
      </c>
      <c r="V18" s="192"/>
      <c r="W18" s="189">
        <f>K18</f>
        <v>62842.05</v>
      </c>
      <c r="X18" s="189"/>
      <c r="Z18" s="28">
        <f>U18</f>
        <v>62842.05</v>
      </c>
      <c r="AA18" s="28">
        <f>W18</f>
        <v>62842.05</v>
      </c>
    </row>
    <row r="19" spans="3:27" ht="19.2">
      <c r="C19" s="6" t="s">
        <v>35</v>
      </c>
      <c r="D19" s="6"/>
      <c r="E19" s="6"/>
      <c r="F19" s="6"/>
      <c r="G19" s="178">
        <v>51121.9</v>
      </c>
      <c r="H19" s="179"/>
      <c r="I19" s="180"/>
      <c r="J19" s="181"/>
      <c r="K19" s="185">
        <f>IF(I19="", G19, I19)</f>
        <v>51121.9</v>
      </c>
      <c r="L19" s="185"/>
      <c r="M19" s="6"/>
      <c r="O19" s="213"/>
      <c r="P19" s="214"/>
      <c r="Q19" s="34" t="s">
        <v>35</v>
      </c>
      <c r="R19" s="34"/>
      <c r="S19" s="34"/>
      <c r="T19" s="34"/>
      <c r="U19" s="191">
        <v>51121.9</v>
      </c>
      <c r="V19" s="192"/>
      <c r="W19" s="189">
        <f>K19</f>
        <v>51121.9</v>
      </c>
      <c r="X19" s="189"/>
      <c r="Z19" s="28">
        <f t="shared" ref="Z19:Z27" si="0">U19</f>
        <v>51121.9</v>
      </c>
      <c r="AA19" s="28">
        <f t="shared" ref="AA19:AA27" si="1">W19</f>
        <v>51121.9</v>
      </c>
    </row>
    <row r="20" spans="3:27" ht="19.2">
      <c r="C20" s="6" t="s">
        <v>36</v>
      </c>
      <c r="D20" s="6"/>
      <c r="E20" s="6"/>
      <c r="F20" s="6"/>
      <c r="G20" s="178">
        <v>39390.800000000003</v>
      </c>
      <c r="H20" s="179"/>
      <c r="I20" s="180"/>
      <c r="J20" s="181"/>
      <c r="K20" s="185">
        <f>IF(I20="", G20, I20)</f>
        <v>39390.800000000003</v>
      </c>
      <c r="L20" s="185"/>
      <c r="M20" s="6"/>
      <c r="O20" s="213"/>
      <c r="P20" s="214"/>
      <c r="Q20" s="34" t="s">
        <v>36</v>
      </c>
      <c r="R20" s="34"/>
      <c r="S20" s="34"/>
      <c r="T20" s="34"/>
      <c r="U20" s="191">
        <v>39390.800000000003</v>
      </c>
      <c r="V20" s="192"/>
      <c r="W20" s="189">
        <f>K20</f>
        <v>39390.800000000003</v>
      </c>
      <c r="X20" s="189"/>
      <c r="Z20" s="28">
        <f t="shared" si="0"/>
        <v>39390.800000000003</v>
      </c>
      <c r="AA20" s="28">
        <f t="shared" si="1"/>
        <v>39390.800000000003</v>
      </c>
    </row>
    <row r="21" spans="3:27" ht="19.2">
      <c r="C21" s="6" t="s">
        <v>37</v>
      </c>
      <c r="D21" s="6"/>
      <c r="E21" s="6"/>
      <c r="F21" s="6"/>
      <c r="G21" s="178">
        <v>9004.5500000000011</v>
      </c>
      <c r="H21" s="179"/>
      <c r="I21" s="180"/>
      <c r="J21" s="181"/>
      <c r="K21" s="185">
        <f>IF(I21="", G21, I21)</f>
        <v>9004.5500000000011</v>
      </c>
      <c r="L21" s="185"/>
      <c r="M21" s="6"/>
      <c r="O21" s="215"/>
      <c r="P21" s="216"/>
      <c r="Q21" s="121" t="s">
        <v>37</v>
      </c>
      <c r="R21" s="121"/>
      <c r="S21" s="121"/>
      <c r="T21" s="121"/>
      <c r="U21" s="191">
        <v>9004.5500000000011</v>
      </c>
      <c r="V21" s="192"/>
      <c r="W21" s="189">
        <f>K21</f>
        <v>9004.5500000000011</v>
      </c>
      <c r="X21" s="189"/>
      <c r="Z21" s="28">
        <f t="shared" si="0"/>
        <v>9004.5500000000011</v>
      </c>
      <c r="AA21" s="28">
        <f t="shared" si="1"/>
        <v>9004.5500000000011</v>
      </c>
    </row>
    <row r="22" spans="3:27" ht="19.2" hidden="1">
      <c r="J22" s="17" t="s">
        <v>38</v>
      </c>
      <c r="O22" s="197" t="s">
        <v>39</v>
      </c>
      <c r="P22" s="198"/>
      <c r="Q22" s="29" t="str">
        <f>E36</f>
        <v>Intervention 1: KRT intervention</v>
      </c>
      <c r="R22" s="29"/>
      <c r="S22" s="29"/>
      <c r="T22" s="30"/>
      <c r="U22" s="195">
        <v>0</v>
      </c>
      <c r="V22" s="196"/>
      <c r="W22" s="189">
        <f t="shared" ref="W22:W27" si="2">V36</f>
        <v>0</v>
      </c>
      <c r="X22" s="190"/>
      <c r="Z22" s="28">
        <f t="shared" si="0"/>
        <v>0</v>
      </c>
      <c r="AA22" s="28">
        <f t="shared" si="1"/>
        <v>0</v>
      </c>
    </row>
    <row r="23" spans="3:27" ht="19.2" hidden="1">
      <c r="J23" s="17"/>
      <c r="O23" s="199"/>
      <c r="P23" s="200"/>
      <c r="Q23" s="31" t="str">
        <f>E37</f>
        <v>Intervention 2: KRT intervention</v>
      </c>
      <c r="R23" s="31"/>
      <c r="S23" s="31"/>
      <c r="T23" s="32"/>
      <c r="U23" s="195">
        <v>0</v>
      </c>
      <c r="V23" s="196"/>
      <c r="W23" s="189">
        <f t="shared" si="2"/>
        <v>0</v>
      </c>
      <c r="X23" s="190"/>
      <c r="Z23" s="28">
        <f t="shared" si="0"/>
        <v>0</v>
      </c>
      <c r="AA23" s="28">
        <f t="shared" si="1"/>
        <v>0</v>
      </c>
    </row>
    <row r="24" spans="3:27" ht="19.2" hidden="1">
      <c r="J24" s="17"/>
      <c r="O24" s="199"/>
      <c r="P24" s="200"/>
      <c r="Q24" s="31" t="str">
        <f>E38</f>
        <v>Intervention 3: KRT intervention</v>
      </c>
      <c r="R24" s="31"/>
      <c r="S24" s="31"/>
      <c r="T24" s="32"/>
      <c r="U24" s="195">
        <v>0</v>
      </c>
      <c r="V24" s="196"/>
      <c r="W24" s="189">
        <f t="shared" si="2"/>
        <v>0</v>
      </c>
      <c r="X24" s="190"/>
      <c r="Z24" s="28">
        <f t="shared" si="0"/>
        <v>0</v>
      </c>
      <c r="AA24" s="28">
        <f t="shared" si="1"/>
        <v>0</v>
      </c>
    </row>
    <row r="25" spans="3:27" ht="19.2" hidden="1">
      <c r="J25" s="17"/>
      <c r="O25" s="199"/>
      <c r="P25" s="200"/>
      <c r="Q25" s="31" t="str">
        <f>E39</f>
        <v>Intervention 4</v>
      </c>
      <c r="R25" s="31"/>
      <c r="S25" s="31"/>
      <c r="T25" s="32"/>
      <c r="U25" s="195">
        <v>0</v>
      </c>
      <c r="V25" s="196"/>
      <c r="W25" s="189">
        <f t="shared" si="2"/>
        <v>0</v>
      </c>
      <c r="X25" s="190"/>
      <c r="Z25" s="28">
        <f t="shared" si="0"/>
        <v>0</v>
      </c>
      <c r="AA25" s="28">
        <f t="shared" si="1"/>
        <v>0</v>
      </c>
    </row>
    <row r="26" spans="3:27" ht="19.2" hidden="1">
      <c r="J26" s="17"/>
      <c r="O26" s="199"/>
      <c r="P26" s="200"/>
      <c r="Q26" s="31" t="str">
        <f>E40</f>
        <v>Intervention 5</v>
      </c>
      <c r="R26" s="31"/>
      <c r="S26" s="31"/>
      <c r="T26" s="32"/>
      <c r="U26" s="195">
        <v>0</v>
      </c>
      <c r="V26" s="196"/>
      <c r="W26" s="189">
        <f t="shared" si="2"/>
        <v>0</v>
      </c>
      <c r="X26" s="190"/>
      <c r="Z26" s="28">
        <f t="shared" si="0"/>
        <v>0</v>
      </c>
      <c r="AA26" s="28">
        <f t="shared" si="1"/>
        <v>0</v>
      </c>
    </row>
    <row r="27" spans="3:27" ht="19.2" hidden="1">
      <c r="O27" s="201"/>
      <c r="P27" s="202"/>
      <c r="Q27" s="35" t="s">
        <v>40</v>
      </c>
      <c r="R27" s="36"/>
      <c r="S27" s="36"/>
      <c r="T27" s="37"/>
      <c r="U27" s="195">
        <v>0</v>
      </c>
      <c r="V27" s="196"/>
      <c r="W27" s="219">
        <f t="shared" si="2"/>
        <v>0</v>
      </c>
      <c r="X27" s="220"/>
      <c r="Z27" s="28">
        <f t="shared" si="0"/>
        <v>0</v>
      </c>
      <c r="AA27" s="28">
        <f t="shared" si="1"/>
        <v>0</v>
      </c>
    </row>
    <row r="29" spans="3:27" ht="19.2" hidden="1">
      <c r="C29" s="19" t="s">
        <v>41</v>
      </c>
      <c r="D29" s="10"/>
      <c r="E29" s="10"/>
      <c r="F29" s="10"/>
      <c r="G29" s="10"/>
      <c r="H29" s="10"/>
      <c r="I29" s="10"/>
      <c r="J29" s="10"/>
      <c r="K29" s="10"/>
      <c r="L29" s="10"/>
      <c r="M29" s="25"/>
      <c r="N29" s="8"/>
      <c r="O29" s="8"/>
      <c r="P29" s="8"/>
      <c r="Q29" s="8"/>
      <c r="R29" s="8"/>
      <c r="S29" s="8"/>
      <c r="T29" s="8"/>
      <c r="U29" s="8"/>
      <c r="V29" s="8"/>
      <c r="W29" s="8"/>
      <c r="X29" s="8"/>
    </row>
    <row r="30" spans="3:27" ht="10.95" hidden="1" customHeight="1">
      <c r="C30" s="6"/>
      <c r="D30" s="6"/>
      <c r="E30" s="6"/>
      <c r="F30" s="6"/>
      <c r="G30" s="6"/>
      <c r="H30" s="6"/>
      <c r="I30" s="6"/>
      <c r="J30" s="6"/>
      <c r="K30" s="6"/>
      <c r="L30" s="6"/>
      <c r="M30" s="11"/>
    </row>
    <row r="31" spans="3:27" ht="179.4" hidden="1" customHeight="1">
      <c r="C31" s="188"/>
      <c r="D31" s="188"/>
      <c r="E31" s="188"/>
      <c r="F31" s="188"/>
      <c r="G31" s="188"/>
      <c r="H31" s="188"/>
      <c r="I31" s="188"/>
      <c r="J31" s="188"/>
      <c r="K31" s="188"/>
      <c r="L31" s="188"/>
      <c r="M31" s="188"/>
      <c r="N31" s="188"/>
      <c r="O31" s="188"/>
      <c r="P31" s="188"/>
      <c r="Q31" s="188"/>
      <c r="R31" s="188"/>
      <c r="S31" s="188"/>
      <c r="T31" s="188"/>
      <c r="U31" s="188"/>
      <c r="V31" s="188"/>
      <c r="W31" s="188"/>
      <c r="X31" s="188"/>
    </row>
    <row r="32" spans="3:27" ht="16.8" hidden="1">
      <c r="G32" s="21"/>
      <c r="H32" s="21"/>
      <c r="I32" s="21"/>
      <c r="J32" s="21"/>
      <c r="K32" s="14"/>
      <c r="L32" s="14"/>
      <c r="M32" s="14"/>
      <c r="N32" s="21"/>
      <c r="O32" s="21"/>
      <c r="P32" s="21"/>
      <c r="Q32" s="21"/>
      <c r="R32" s="21"/>
      <c r="S32" s="21"/>
      <c r="T32" s="21"/>
    </row>
    <row r="33" spans="3:23" ht="34.950000000000003" hidden="1" customHeight="1">
      <c r="E33" s="217" t="s">
        <v>42</v>
      </c>
      <c r="F33" s="217"/>
      <c r="G33" s="217"/>
      <c r="H33" s="217"/>
      <c r="I33" s="20">
        <v>2023</v>
      </c>
      <c r="J33" s="20">
        <v>2024</v>
      </c>
      <c r="K33" s="20">
        <v>2025</v>
      </c>
      <c r="L33" s="20">
        <v>2026</v>
      </c>
      <c r="M33" s="20">
        <v>2027</v>
      </c>
      <c r="N33" s="20">
        <v>2028</v>
      </c>
      <c r="O33" s="20">
        <v>2029</v>
      </c>
      <c r="P33" s="20">
        <v>2030</v>
      </c>
      <c r="Q33" s="20">
        <v>2031</v>
      </c>
      <c r="R33" s="20">
        <v>2032</v>
      </c>
      <c r="S33" s="20">
        <v>2033</v>
      </c>
      <c r="T33" s="20">
        <v>2034</v>
      </c>
      <c r="U33" s="20">
        <v>2035</v>
      </c>
      <c r="V33" s="218" t="s">
        <v>43</v>
      </c>
      <c r="W33" s="218"/>
    </row>
    <row r="34" spans="3:23" hidden="1">
      <c r="E34" s="208" t="s">
        <v>44</v>
      </c>
      <c r="F34" s="208"/>
      <c r="G34" s="208"/>
      <c r="H34" s="208"/>
      <c r="I34" s="39"/>
      <c r="J34" s="39"/>
      <c r="K34" s="39"/>
      <c r="L34" s="39"/>
      <c r="M34" s="39"/>
      <c r="N34" s="39">
        <v>10000</v>
      </c>
      <c r="O34" s="39">
        <v>5000</v>
      </c>
      <c r="P34" s="39">
        <v>5000</v>
      </c>
      <c r="Q34" s="39"/>
      <c r="R34" s="39"/>
      <c r="S34" s="39"/>
      <c r="T34" s="39"/>
      <c r="U34" s="39"/>
      <c r="V34" s="203">
        <f t="shared" ref="V34:V41" si="3">SUM(I34:U34)</f>
        <v>20000</v>
      </c>
      <c r="W34" s="203"/>
    </row>
    <row r="35" spans="3:23" s="16" customFormat="1" ht="16.2" hidden="1" customHeight="1">
      <c r="C35" s="187"/>
      <c r="D35" s="187"/>
      <c r="E35" s="208" t="s">
        <v>45</v>
      </c>
      <c r="F35" s="208"/>
      <c r="G35" s="208"/>
      <c r="H35" s="208"/>
      <c r="I35" s="39"/>
      <c r="J35" s="39"/>
      <c r="K35" s="39"/>
      <c r="L35" s="39"/>
      <c r="M35" s="39">
        <v>50000</v>
      </c>
      <c r="N35" s="39">
        <v>500</v>
      </c>
      <c r="O35" s="39">
        <v>500</v>
      </c>
      <c r="P35" s="39">
        <v>500</v>
      </c>
      <c r="Q35" s="39">
        <v>10500</v>
      </c>
      <c r="R35" s="39">
        <v>500</v>
      </c>
      <c r="S35" s="39">
        <v>500</v>
      </c>
      <c r="T35" s="39">
        <v>500</v>
      </c>
      <c r="U35" s="39">
        <v>500</v>
      </c>
      <c r="V35" s="203">
        <f t="shared" si="3"/>
        <v>64000</v>
      </c>
      <c r="W35" s="203"/>
    </row>
    <row r="36" spans="3:23" hidden="1">
      <c r="C36" s="207" t="s">
        <v>46</v>
      </c>
      <c r="D36" s="207"/>
      <c r="E36" s="182" t="s">
        <v>77</v>
      </c>
      <c r="F36" s="183"/>
      <c r="G36" s="183"/>
      <c r="H36" s="184"/>
      <c r="I36" s="40"/>
      <c r="J36" s="40"/>
      <c r="K36" s="40"/>
      <c r="L36" s="38"/>
      <c r="M36" s="38"/>
      <c r="N36" s="38"/>
      <c r="O36" s="38"/>
      <c r="P36" s="38"/>
      <c r="Q36" s="38"/>
      <c r="R36" s="38"/>
      <c r="S36" s="38"/>
      <c r="T36" s="38"/>
      <c r="U36" s="38"/>
      <c r="V36" s="204">
        <f t="shared" si="3"/>
        <v>0</v>
      </c>
      <c r="W36" s="205"/>
    </row>
    <row r="37" spans="3:23" hidden="1">
      <c r="C37" s="206" t="s">
        <v>47</v>
      </c>
      <c r="D37" s="206"/>
      <c r="E37" s="182" t="s">
        <v>70</v>
      </c>
      <c r="F37" s="183"/>
      <c r="G37" s="183"/>
      <c r="H37" s="184"/>
      <c r="I37" s="38"/>
      <c r="J37" s="38"/>
      <c r="K37" s="38"/>
      <c r="L37" s="38"/>
      <c r="M37" s="38"/>
      <c r="N37" s="38"/>
      <c r="O37" s="38"/>
      <c r="P37" s="38"/>
      <c r="Q37" s="38"/>
      <c r="R37" s="38"/>
      <c r="S37" s="38"/>
      <c r="T37" s="38"/>
      <c r="U37" s="38"/>
      <c r="V37" s="203">
        <f t="shared" si="3"/>
        <v>0</v>
      </c>
      <c r="W37" s="203"/>
    </row>
    <row r="38" spans="3:23" hidden="1">
      <c r="C38" s="206" t="s">
        <v>48</v>
      </c>
      <c r="D38" s="206"/>
      <c r="E38" s="182" t="s">
        <v>71</v>
      </c>
      <c r="F38" s="183"/>
      <c r="G38" s="183"/>
      <c r="H38" s="184"/>
      <c r="I38" s="38"/>
      <c r="J38" s="38"/>
      <c r="K38" s="38"/>
      <c r="L38" s="38"/>
      <c r="M38" s="38"/>
      <c r="N38" s="38"/>
      <c r="O38" s="38"/>
      <c r="P38" s="38"/>
      <c r="Q38" s="38"/>
      <c r="R38" s="38"/>
      <c r="S38" s="38"/>
      <c r="T38" s="38"/>
      <c r="U38" s="38"/>
      <c r="V38" s="203">
        <f t="shared" si="3"/>
        <v>0</v>
      </c>
      <c r="W38" s="203"/>
    </row>
    <row r="39" spans="3:23" ht="15" hidden="1" customHeight="1">
      <c r="C39" s="206" t="s">
        <v>49</v>
      </c>
      <c r="D39" s="206"/>
      <c r="E39" s="182" t="s">
        <v>49</v>
      </c>
      <c r="F39" s="183"/>
      <c r="G39" s="183"/>
      <c r="H39" s="184"/>
      <c r="I39" s="38"/>
      <c r="J39" s="38"/>
      <c r="K39" s="38"/>
      <c r="L39" s="38"/>
      <c r="M39" s="38"/>
      <c r="N39" s="38"/>
      <c r="O39" s="38"/>
      <c r="P39" s="38"/>
      <c r="Q39" s="38"/>
      <c r="R39" s="38"/>
      <c r="S39" s="38"/>
      <c r="T39" s="38"/>
      <c r="U39" s="38"/>
      <c r="V39" s="203">
        <f t="shared" si="3"/>
        <v>0</v>
      </c>
      <c r="W39" s="203"/>
    </row>
    <row r="40" spans="3:23" ht="15" hidden="1" customHeight="1">
      <c r="C40" s="206" t="s">
        <v>50</v>
      </c>
      <c r="D40" s="206"/>
      <c r="E40" s="182" t="s">
        <v>50</v>
      </c>
      <c r="F40" s="183"/>
      <c r="G40" s="183"/>
      <c r="H40" s="184"/>
      <c r="I40" s="38"/>
      <c r="J40" s="38"/>
      <c r="K40" s="38"/>
      <c r="L40" s="38"/>
      <c r="M40" s="38"/>
      <c r="N40" s="38"/>
      <c r="O40" s="38"/>
      <c r="P40" s="38"/>
      <c r="Q40" s="38"/>
      <c r="R40" s="38"/>
      <c r="S40" s="38"/>
      <c r="T40" s="38"/>
      <c r="U40" s="38"/>
      <c r="V40" s="203">
        <f t="shared" si="3"/>
        <v>0</v>
      </c>
      <c r="W40" s="203"/>
    </row>
    <row r="41" spans="3:23" hidden="1">
      <c r="C41" s="193" t="s">
        <v>69</v>
      </c>
      <c r="D41" s="193"/>
      <c r="E41" s="194" t="s">
        <v>51</v>
      </c>
      <c r="F41" s="194"/>
      <c r="G41" s="194"/>
      <c r="H41" s="194"/>
      <c r="I41" s="22">
        <f>SUM(I36:I38)</f>
        <v>0</v>
      </c>
      <c r="J41" s="22">
        <f t="shared" ref="J41:U41" si="4">SUM(J36:J38)</f>
        <v>0</v>
      </c>
      <c r="K41" s="22">
        <f t="shared" si="4"/>
        <v>0</v>
      </c>
      <c r="L41" s="22">
        <f t="shared" si="4"/>
        <v>0</v>
      </c>
      <c r="M41" s="22">
        <f t="shared" si="4"/>
        <v>0</v>
      </c>
      <c r="N41" s="22">
        <f t="shared" si="4"/>
        <v>0</v>
      </c>
      <c r="O41" s="22">
        <f t="shared" si="4"/>
        <v>0</v>
      </c>
      <c r="P41" s="22">
        <f t="shared" si="4"/>
        <v>0</v>
      </c>
      <c r="Q41" s="22">
        <f t="shared" si="4"/>
        <v>0</v>
      </c>
      <c r="R41" s="22">
        <f t="shared" si="4"/>
        <v>0</v>
      </c>
      <c r="S41" s="22">
        <f t="shared" si="4"/>
        <v>0</v>
      </c>
      <c r="T41" s="22">
        <f t="shared" si="4"/>
        <v>0</v>
      </c>
      <c r="U41" s="22">
        <f t="shared" si="4"/>
        <v>0</v>
      </c>
      <c r="V41" s="203">
        <f t="shared" si="3"/>
        <v>0</v>
      </c>
      <c r="W41" s="203"/>
    </row>
    <row r="44" spans="3:23" ht="16.8">
      <c r="E44" s="26"/>
    </row>
    <row r="45" spans="3:23">
      <c r="C45"/>
      <c r="D45"/>
      <c r="E45"/>
      <c r="F45"/>
      <c r="G45"/>
      <c r="H45"/>
      <c r="I45"/>
      <c r="J45"/>
      <c r="K45"/>
      <c r="L45"/>
    </row>
    <row r="46" spans="3:23">
      <c r="C46"/>
      <c r="D46"/>
      <c r="E46"/>
      <c r="F46"/>
      <c r="G46"/>
      <c r="H46"/>
      <c r="I46"/>
      <c r="J46"/>
      <c r="K46"/>
      <c r="L46"/>
    </row>
    <row r="47" spans="3:23">
      <c r="C47"/>
      <c r="D47"/>
      <c r="E47"/>
      <c r="F47"/>
      <c r="G47"/>
      <c r="H47"/>
      <c r="I47"/>
      <c r="J47"/>
      <c r="K47"/>
      <c r="L47"/>
    </row>
    <row r="48" spans="3:23">
      <c r="C48"/>
      <c r="D48"/>
      <c r="E48"/>
      <c r="F48"/>
      <c r="G48"/>
      <c r="H48"/>
      <c r="I48"/>
      <c r="J48"/>
      <c r="K48"/>
      <c r="L48"/>
    </row>
    <row r="49" spans="3:12">
      <c r="C49"/>
      <c r="D49"/>
      <c r="E49"/>
      <c r="F49"/>
      <c r="G49"/>
      <c r="H49"/>
      <c r="I49"/>
      <c r="J49"/>
      <c r="K49"/>
      <c r="L49"/>
    </row>
    <row r="50" spans="3:12">
      <c r="C50"/>
      <c r="D50"/>
      <c r="E50"/>
      <c r="F50"/>
      <c r="G50"/>
      <c r="H50"/>
      <c r="I50"/>
      <c r="J50"/>
      <c r="K50"/>
      <c r="L50"/>
    </row>
    <row r="51" spans="3:12">
      <c r="C51"/>
      <c r="D51"/>
      <c r="E51"/>
      <c r="F51"/>
      <c r="G51"/>
      <c r="H51"/>
      <c r="I51"/>
      <c r="J51"/>
      <c r="K51"/>
      <c r="L51"/>
    </row>
    <row r="52" spans="3:12">
      <c r="C52"/>
      <c r="D52"/>
      <c r="E52"/>
      <c r="F52"/>
      <c r="G52"/>
      <c r="H52"/>
      <c r="I52"/>
      <c r="J52"/>
      <c r="K52"/>
      <c r="L52"/>
    </row>
    <row r="53" spans="3:12">
      <c r="C53"/>
      <c r="D53"/>
      <c r="E53"/>
      <c r="F53"/>
      <c r="G53"/>
      <c r="H53"/>
      <c r="I53"/>
      <c r="J53"/>
      <c r="K53"/>
      <c r="L53"/>
    </row>
    <row r="54" spans="3:12">
      <c r="C54"/>
      <c r="D54"/>
      <c r="E54"/>
      <c r="F54"/>
      <c r="G54"/>
      <c r="H54"/>
      <c r="I54"/>
      <c r="J54"/>
      <c r="K54"/>
      <c r="L54"/>
    </row>
    <row r="55" spans="3:12">
      <c r="C55"/>
      <c r="D55"/>
      <c r="E55"/>
      <c r="F55"/>
      <c r="G55"/>
      <c r="H55"/>
      <c r="I55"/>
      <c r="J55"/>
      <c r="K55"/>
      <c r="L55"/>
    </row>
    <row r="97" spans="1:2">
      <c r="A97" s="4"/>
      <c r="B97" s="5">
        <f>TxType!B1</f>
        <v>0.4</v>
      </c>
    </row>
    <row r="98" spans="1:2">
      <c r="A98" s="4">
        <v>1</v>
      </c>
      <c r="B98" s="5">
        <f>TxType!B2</f>
        <v>0.25</v>
      </c>
    </row>
    <row r="99" spans="1:2">
      <c r="A99" s="4">
        <v>2</v>
      </c>
      <c r="B99" s="5">
        <f>TxType!B3</f>
        <v>0.25</v>
      </c>
    </row>
    <row r="100" spans="1:2">
      <c r="A100" s="4">
        <v>3</v>
      </c>
      <c r="B100" s="5">
        <f>TxType!B4</f>
        <v>0.25</v>
      </c>
    </row>
    <row r="101" spans="1:2">
      <c r="A101" s="4">
        <v>4</v>
      </c>
      <c r="B101" s="5">
        <f>TxType!B5</f>
        <v>0.15</v>
      </c>
    </row>
    <row r="102" spans="1:2">
      <c r="A102" s="4">
        <v>5</v>
      </c>
      <c r="B102" s="5">
        <f>TxType!B6</f>
        <v>0.02</v>
      </c>
    </row>
  </sheetData>
  <sheetProtection algorithmName="SHA-512" hashValue="wstTatVdFSRAf0DuE//XV2ckjyh7Er1M6yYDa8/3BPE0Ezc0ZztZK5DLucvF8Caot75oy71gerI52M8dBh3vag==" saltValue="jAFKtc8z6aub6EDLT2Imgg==" spinCount="100000" sheet="1" objects="1" scenarios="1"/>
  <mergeCells count="67">
    <mergeCell ref="V34:W34"/>
    <mergeCell ref="W23:X23"/>
    <mergeCell ref="W24:X24"/>
    <mergeCell ref="W25:X25"/>
    <mergeCell ref="W26:X26"/>
    <mergeCell ref="W27:X27"/>
    <mergeCell ref="E35:H35"/>
    <mergeCell ref="E36:H36"/>
    <mergeCell ref="W20:X20"/>
    <mergeCell ref="O16:X16"/>
    <mergeCell ref="W17:X17"/>
    <mergeCell ref="W18:X18"/>
    <mergeCell ref="U17:V17"/>
    <mergeCell ref="U18:V18"/>
    <mergeCell ref="U19:V19"/>
    <mergeCell ref="O18:P21"/>
    <mergeCell ref="U21:V21"/>
    <mergeCell ref="W21:X21"/>
    <mergeCell ref="W19:X19"/>
    <mergeCell ref="E33:H33"/>
    <mergeCell ref="V33:W33"/>
    <mergeCell ref="E34:H34"/>
    <mergeCell ref="E40:H40"/>
    <mergeCell ref="C36:D36"/>
    <mergeCell ref="C37:D37"/>
    <mergeCell ref="V37:W37"/>
    <mergeCell ref="V38:W38"/>
    <mergeCell ref="V39:W39"/>
    <mergeCell ref="C38:D38"/>
    <mergeCell ref="E37:H37"/>
    <mergeCell ref="C41:D41"/>
    <mergeCell ref="E41:H41"/>
    <mergeCell ref="U22:V22"/>
    <mergeCell ref="U23:V23"/>
    <mergeCell ref="O22:P27"/>
    <mergeCell ref="U24:V24"/>
    <mergeCell ref="U25:V25"/>
    <mergeCell ref="U26:V26"/>
    <mergeCell ref="U27:V27"/>
    <mergeCell ref="V40:W40"/>
    <mergeCell ref="V41:W41"/>
    <mergeCell ref="V35:W35"/>
    <mergeCell ref="V36:W36"/>
    <mergeCell ref="C39:D39"/>
    <mergeCell ref="C40:D40"/>
    <mergeCell ref="E39:H39"/>
    <mergeCell ref="K20:L20"/>
    <mergeCell ref="G21:H21"/>
    <mergeCell ref="I21:J21"/>
    <mergeCell ref="K21:L21"/>
    <mergeCell ref="U20:V20"/>
    <mergeCell ref="C16:L16"/>
    <mergeCell ref="G19:H19"/>
    <mergeCell ref="I19:J19"/>
    <mergeCell ref="E38:H38"/>
    <mergeCell ref="K19:L19"/>
    <mergeCell ref="G20:H20"/>
    <mergeCell ref="I20:J20"/>
    <mergeCell ref="G17:H17"/>
    <mergeCell ref="I17:J17"/>
    <mergeCell ref="K17:L17"/>
    <mergeCell ref="G18:H18"/>
    <mergeCell ref="I18:J18"/>
    <mergeCell ref="K18:L18"/>
    <mergeCell ref="C35:D35"/>
    <mergeCell ref="C31:X31"/>
    <mergeCell ref="W22:X22"/>
  </mergeCells>
  <phoneticPr fontId="23" type="noConversion"/>
  <conditionalFormatting sqref="J22:M26">
    <cfRule type="expression" dxfId="0" priority="37">
      <formula>#REF!&lt;0</formula>
    </cfRule>
  </conditionalFormatting>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A9C5E-3669-4A13-8188-65CB67E75ED6}">
  <sheetPr codeName="Sheet15">
    <tabColor rgb="FFEC6555"/>
  </sheetPr>
  <dimension ref="Y14"/>
  <sheetViews>
    <sheetView zoomScale="85" zoomScaleNormal="85" workbookViewId="0">
      <selection activeCell="N50" sqref="N50"/>
    </sheetView>
  </sheetViews>
  <sheetFormatPr defaultColWidth="9.6640625" defaultRowHeight="16.8"/>
  <cols>
    <col min="1" max="16384" width="9.6640625" style="6"/>
  </cols>
  <sheetData>
    <row r="14" spans="25:25">
      <c r="Y14" s="18"/>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34ECE5-51BE-4452-A717-3DA34EB29891}">
  <sheetPr codeName="Sheet23">
    <tabColor theme="8"/>
  </sheetPr>
  <dimension ref="A1:F11"/>
  <sheetViews>
    <sheetView workbookViewId="0">
      <selection activeCell="C4" sqref="C4"/>
    </sheetView>
  </sheetViews>
  <sheetFormatPr defaultRowHeight="14.4"/>
  <cols>
    <col min="3" max="3" width="17.33203125" customWidth="1"/>
    <col min="5" max="5" width="16.5546875" customWidth="1"/>
  </cols>
  <sheetData>
    <row r="1" spans="1:6">
      <c r="A1" s="1" t="s">
        <v>4</v>
      </c>
      <c r="B1" s="1" t="s">
        <v>54</v>
      </c>
      <c r="C1" s="1" t="s">
        <v>55</v>
      </c>
      <c r="E1" t="s">
        <v>56</v>
      </c>
      <c r="F1" t="s">
        <v>57</v>
      </c>
    </row>
    <row r="2" spans="1:6">
      <c r="A2" t="s">
        <v>162</v>
      </c>
      <c r="B2" t="s">
        <v>163</v>
      </c>
      <c r="C2" t="s">
        <v>10</v>
      </c>
      <c r="E2" t="s">
        <v>163</v>
      </c>
      <c r="F2" s="3">
        <v>1</v>
      </c>
    </row>
    <row r="3" spans="1:6">
      <c r="C3" t="s">
        <v>22</v>
      </c>
      <c r="F3" s="3"/>
    </row>
    <row r="4" spans="1:6">
      <c r="F4" s="3"/>
    </row>
    <row r="5" spans="1:6">
      <c r="F5" s="3"/>
    </row>
    <row r="6" spans="1:6">
      <c r="F6" s="3"/>
    </row>
    <row r="7" spans="1:6">
      <c r="F7" s="3"/>
    </row>
    <row r="8" spans="1:6">
      <c r="F8" s="3"/>
    </row>
    <row r="9" spans="1:6">
      <c r="F9" s="3"/>
    </row>
    <row r="10" spans="1:6">
      <c r="F10" s="3"/>
    </row>
    <row r="11" spans="1:6">
      <c r="F11" s="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6913C-A6D9-4C4D-A093-D8771AAFE9F5}">
  <sheetPr codeName="Sheet25"/>
  <dimension ref="A1:D84"/>
  <sheetViews>
    <sheetView zoomScale="85" zoomScaleNormal="85" workbookViewId="0">
      <selection activeCell="K15" sqref="K15"/>
    </sheetView>
  </sheetViews>
  <sheetFormatPr defaultColWidth="11.5546875" defaultRowHeight="14.4"/>
  <cols>
    <col min="1" max="16384" width="11.5546875" style="4"/>
  </cols>
  <sheetData>
    <row r="1" spans="1:4">
      <c r="A1" s="45" t="s">
        <v>104</v>
      </c>
      <c r="B1"/>
      <c r="C1" s="1" t="s">
        <v>58</v>
      </c>
      <c r="D1" s="1" t="s">
        <v>123</v>
      </c>
    </row>
    <row r="2" spans="1:4">
      <c r="A2" s="4" t="s">
        <v>122</v>
      </c>
      <c r="B2"/>
      <c r="C2"/>
      <c r="D2"/>
    </row>
    <row r="3" spans="1:4">
      <c r="B3" t="s">
        <v>105</v>
      </c>
      <c r="C3" s="4">
        <v>0</v>
      </c>
      <c r="D3" s="4">
        <v>0</v>
      </c>
    </row>
    <row r="4" spans="1:4">
      <c r="B4" t="s">
        <v>106</v>
      </c>
      <c r="C4" s="4">
        <v>0</v>
      </c>
      <c r="D4" s="4">
        <v>0</v>
      </c>
    </row>
    <row r="5" spans="1:4">
      <c r="B5" t="s">
        <v>107</v>
      </c>
      <c r="C5" s="4">
        <v>0</v>
      </c>
      <c r="D5" s="4">
        <v>0</v>
      </c>
    </row>
    <row r="6" spans="1:4">
      <c r="B6" t="s">
        <v>108</v>
      </c>
      <c r="C6" s="4">
        <v>0</v>
      </c>
      <c r="D6" s="4">
        <v>0</v>
      </c>
    </row>
    <row r="7" spans="1:4">
      <c r="A7"/>
      <c r="B7" t="s">
        <v>109</v>
      </c>
      <c r="C7" s="4">
        <v>0</v>
      </c>
      <c r="D7" s="4">
        <v>0</v>
      </c>
    </row>
    <row r="8" spans="1:4">
      <c r="A8"/>
      <c r="B8" t="s">
        <v>110</v>
      </c>
      <c r="C8" s="4">
        <v>0</v>
      </c>
      <c r="D8" s="4">
        <v>0</v>
      </c>
    </row>
    <row r="9" spans="1:4">
      <c r="A9"/>
      <c r="B9" t="s">
        <v>111</v>
      </c>
      <c r="C9" s="4">
        <v>0</v>
      </c>
      <c r="D9" s="4">
        <v>0</v>
      </c>
    </row>
    <row r="10" spans="1:4">
      <c r="A10"/>
      <c r="B10" t="s">
        <v>112</v>
      </c>
      <c r="C10" s="4">
        <v>0</v>
      </c>
      <c r="D10" s="4">
        <v>0</v>
      </c>
    </row>
    <row r="11" spans="1:4">
      <c r="A11"/>
      <c r="B11" t="s">
        <v>113</v>
      </c>
      <c r="C11" s="4">
        <v>0</v>
      </c>
      <c r="D11" s="4">
        <v>0</v>
      </c>
    </row>
    <row r="12" spans="1:4">
      <c r="A12"/>
      <c r="B12" t="s">
        <v>114</v>
      </c>
      <c r="C12" s="4">
        <v>0</v>
      </c>
      <c r="D12" s="4">
        <v>0</v>
      </c>
    </row>
    <row r="13" spans="1:4">
      <c r="A13"/>
      <c r="B13" t="s">
        <v>115</v>
      </c>
      <c r="C13" s="4">
        <v>0</v>
      </c>
      <c r="D13" s="4">
        <v>0</v>
      </c>
    </row>
    <row r="14" spans="1:4">
      <c r="A14"/>
      <c r="B14" t="s">
        <v>116</v>
      </c>
      <c r="C14" s="4">
        <v>0</v>
      </c>
      <c r="D14" s="4">
        <v>0</v>
      </c>
    </row>
    <row r="15" spans="1:4">
      <c r="A15"/>
      <c r="B15"/>
    </row>
    <row r="16" spans="1:4">
      <c r="A16" t="s">
        <v>117</v>
      </c>
      <c r="B16"/>
    </row>
    <row r="17" spans="1:4">
      <c r="A17"/>
      <c r="B17" t="s">
        <v>105</v>
      </c>
      <c r="C17" s="4">
        <v>10</v>
      </c>
      <c r="D17" s="4">
        <v>20</v>
      </c>
    </row>
    <row r="18" spans="1:4">
      <c r="A18"/>
      <c r="B18" t="s">
        <v>106</v>
      </c>
      <c r="C18" s="4">
        <v>10</v>
      </c>
      <c r="D18" s="4">
        <v>20</v>
      </c>
    </row>
    <row r="19" spans="1:4">
      <c r="A19"/>
      <c r="B19" t="s">
        <v>107</v>
      </c>
      <c r="C19" s="4">
        <v>10</v>
      </c>
      <c r="D19" s="4">
        <v>20</v>
      </c>
    </row>
    <row r="20" spans="1:4">
      <c r="A20"/>
      <c r="B20" t="s">
        <v>108</v>
      </c>
      <c r="C20" s="4">
        <v>10</v>
      </c>
      <c r="D20" s="4">
        <v>20</v>
      </c>
    </row>
    <row r="21" spans="1:4">
      <c r="A21"/>
      <c r="B21" t="s">
        <v>109</v>
      </c>
      <c r="C21" s="4">
        <v>10</v>
      </c>
      <c r="D21" s="4">
        <v>20</v>
      </c>
    </row>
    <row r="22" spans="1:4">
      <c r="A22"/>
      <c r="B22" t="s">
        <v>110</v>
      </c>
      <c r="C22" s="4">
        <v>10</v>
      </c>
      <c r="D22" s="4">
        <v>20</v>
      </c>
    </row>
    <row r="23" spans="1:4">
      <c r="A23"/>
      <c r="B23" t="s">
        <v>111</v>
      </c>
      <c r="C23" s="4">
        <v>10</v>
      </c>
      <c r="D23" s="4">
        <v>20</v>
      </c>
    </row>
    <row r="24" spans="1:4">
      <c r="A24"/>
      <c r="B24" t="s">
        <v>112</v>
      </c>
      <c r="C24" s="4">
        <v>10</v>
      </c>
      <c r="D24" s="4">
        <v>20</v>
      </c>
    </row>
    <row r="25" spans="1:4">
      <c r="A25"/>
      <c r="B25" t="s">
        <v>113</v>
      </c>
      <c r="C25" s="4">
        <v>10</v>
      </c>
      <c r="D25" s="4">
        <v>20</v>
      </c>
    </row>
    <row r="26" spans="1:4">
      <c r="A26"/>
      <c r="B26" t="s">
        <v>114</v>
      </c>
      <c r="C26" s="4">
        <v>10</v>
      </c>
      <c r="D26" s="4">
        <v>20</v>
      </c>
    </row>
    <row r="27" spans="1:4">
      <c r="A27"/>
      <c r="B27" t="s">
        <v>115</v>
      </c>
      <c r="C27" s="4">
        <v>10</v>
      </c>
      <c r="D27" s="4">
        <v>20</v>
      </c>
    </row>
    <row r="28" spans="1:4">
      <c r="A28"/>
      <c r="B28" t="s">
        <v>116</v>
      </c>
      <c r="C28" s="4">
        <v>10</v>
      </c>
      <c r="D28" s="4">
        <v>20</v>
      </c>
    </row>
    <row r="29" spans="1:4">
      <c r="A29"/>
      <c r="B29"/>
    </row>
    <row r="30" spans="1:4">
      <c r="A30" t="s">
        <v>118</v>
      </c>
      <c r="B30"/>
    </row>
    <row r="31" spans="1:4">
      <c r="A31"/>
      <c r="B31" t="s">
        <v>105</v>
      </c>
      <c r="C31" s="4">
        <v>1</v>
      </c>
      <c r="D31" s="4">
        <v>7</v>
      </c>
    </row>
    <row r="32" spans="1:4">
      <c r="A32"/>
      <c r="B32" t="s">
        <v>106</v>
      </c>
      <c r="C32" s="4">
        <v>1</v>
      </c>
      <c r="D32" s="4">
        <v>7</v>
      </c>
    </row>
    <row r="33" spans="1:4">
      <c r="A33"/>
      <c r="B33" t="s">
        <v>107</v>
      </c>
      <c r="C33" s="4">
        <v>1</v>
      </c>
      <c r="D33" s="4">
        <v>7</v>
      </c>
    </row>
    <row r="34" spans="1:4">
      <c r="A34"/>
      <c r="B34" t="s">
        <v>108</v>
      </c>
      <c r="C34" s="4">
        <v>1</v>
      </c>
      <c r="D34" s="4">
        <v>7</v>
      </c>
    </row>
    <row r="35" spans="1:4">
      <c r="A35"/>
      <c r="B35" t="s">
        <v>109</v>
      </c>
      <c r="C35" s="4">
        <v>1</v>
      </c>
      <c r="D35" s="4">
        <v>7</v>
      </c>
    </row>
    <row r="36" spans="1:4">
      <c r="A36"/>
      <c r="B36" t="s">
        <v>110</v>
      </c>
      <c r="C36" s="4">
        <v>1</v>
      </c>
      <c r="D36" s="4">
        <v>7</v>
      </c>
    </row>
    <row r="37" spans="1:4">
      <c r="A37"/>
      <c r="B37" t="s">
        <v>111</v>
      </c>
      <c r="C37" s="4">
        <v>1</v>
      </c>
      <c r="D37" s="4">
        <v>7</v>
      </c>
    </row>
    <row r="38" spans="1:4">
      <c r="A38"/>
      <c r="B38" t="s">
        <v>112</v>
      </c>
      <c r="C38" s="4">
        <v>1</v>
      </c>
      <c r="D38" s="4">
        <v>7</v>
      </c>
    </row>
    <row r="39" spans="1:4">
      <c r="A39"/>
      <c r="B39" t="s">
        <v>113</v>
      </c>
      <c r="C39" s="4">
        <v>1</v>
      </c>
      <c r="D39" s="4">
        <v>7</v>
      </c>
    </row>
    <row r="40" spans="1:4">
      <c r="A40"/>
      <c r="B40" t="s">
        <v>114</v>
      </c>
      <c r="C40" s="4">
        <v>1</v>
      </c>
      <c r="D40" s="4">
        <v>7</v>
      </c>
    </row>
    <row r="41" spans="1:4">
      <c r="A41"/>
      <c r="B41" t="s">
        <v>115</v>
      </c>
      <c r="C41" s="4">
        <v>1</v>
      </c>
      <c r="D41" s="4">
        <v>7</v>
      </c>
    </row>
    <row r="42" spans="1:4">
      <c r="A42"/>
      <c r="B42" t="s">
        <v>116</v>
      </c>
      <c r="C42" s="4">
        <v>1</v>
      </c>
      <c r="D42" s="4">
        <v>7</v>
      </c>
    </row>
    <row r="43" spans="1:4">
      <c r="A43"/>
      <c r="B43"/>
    </row>
    <row r="44" spans="1:4">
      <c r="A44" t="s">
        <v>119</v>
      </c>
      <c r="B44"/>
    </row>
    <row r="45" spans="1:4">
      <c r="A45"/>
      <c r="B45" t="s">
        <v>105</v>
      </c>
      <c r="C45" s="4">
        <v>7</v>
      </c>
      <c r="D45" s="4">
        <v>10</v>
      </c>
    </row>
    <row r="46" spans="1:4">
      <c r="A46"/>
      <c r="B46" t="s">
        <v>106</v>
      </c>
      <c r="C46" s="4">
        <v>7</v>
      </c>
      <c r="D46" s="4">
        <v>10</v>
      </c>
    </row>
    <row r="47" spans="1:4">
      <c r="A47"/>
      <c r="B47" t="s">
        <v>107</v>
      </c>
      <c r="C47" s="4">
        <v>7</v>
      </c>
      <c r="D47" s="4">
        <v>10</v>
      </c>
    </row>
    <row r="48" spans="1:4">
      <c r="A48"/>
      <c r="B48" t="s">
        <v>108</v>
      </c>
      <c r="C48" s="4">
        <v>7</v>
      </c>
      <c r="D48" s="4">
        <v>10</v>
      </c>
    </row>
    <row r="49" spans="1:4">
      <c r="A49"/>
      <c r="B49" t="s">
        <v>109</v>
      </c>
      <c r="C49" s="4">
        <v>7</v>
      </c>
      <c r="D49" s="4">
        <v>10</v>
      </c>
    </row>
    <row r="50" spans="1:4">
      <c r="A50"/>
      <c r="B50" t="s">
        <v>110</v>
      </c>
      <c r="C50" s="4">
        <v>7</v>
      </c>
      <c r="D50" s="4">
        <v>10</v>
      </c>
    </row>
    <row r="51" spans="1:4">
      <c r="A51"/>
      <c r="B51" t="s">
        <v>111</v>
      </c>
      <c r="C51" s="4">
        <v>7</v>
      </c>
      <c r="D51" s="4">
        <v>10</v>
      </c>
    </row>
    <row r="52" spans="1:4">
      <c r="A52"/>
      <c r="B52" t="s">
        <v>112</v>
      </c>
      <c r="C52" s="4">
        <v>7</v>
      </c>
      <c r="D52" s="4">
        <v>10</v>
      </c>
    </row>
    <row r="53" spans="1:4">
      <c r="A53"/>
      <c r="B53" t="s">
        <v>113</v>
      </c>
      <c r="C53" s="4">
        <v>7</v>
      </c>
      <c r="D53" s="4">
        <v>10</v>
      </c>
    </row>
    <row r="54" spans="1:4">
      <c r="A54"/>
      <c r="B54" t="s">
        <v>114</v>
      </c>
      <c r="C54" s="4">
        <v>7</v>
      </c>
      <c r="D54" s="4">
        <v>10</v>
      </c>
    </row>
    <row r="55" spans="1:4">
      <c r="A55"/>
      <c r="B55" t="s">
        <v>115</v>
      </c>
      <c r="C55" s="4">
        <v>7</v>
      </c>
      <c r="D55" s="4">
        <v>10</v>
      </c>
    </row>
    <row r="56" spans="1:4">
      <c r="A56"/>
      <c r="B56" t="s">
        <v>116</v>
      </c>
      <c r="C56" s="4">
        <v>7</v>
      </c>
      <c r="D56" s="4">
        <v>10</v>
      </c>
    </row>
    <row r="57" spans="1:4">
      <c r="A57"/>
      <c r="B57"/>
    </row>
    <row r="58" spans="1:4">
      <c r="A58" t="s">
        <v>120</v>
      </c>
      <c r="B58"/>
    </row>
    <row r="59" spans="1:4">
      <c r="A59"/>
      <c r="B59" t="s">
        <v>105</v>
      </c>
      <c r="C59" s="4">
        <v>3</v>
      </c>
      <c r="D59" s="4">
        <v>10</v>
      </c>
    </row>
    <row r="60" spans="1:4">
      <c r="A60"/>
      <c r="B60" t="s">
        <v>106</v>
      </c>
      <c r="C60" s="4">
        <v>3</v>
      </c>
      <c r="D60" s="4">
        <v>10</v>
      </c>
    </row>
    <row r="61" spans="1:4">
      <c r="A61"/>
      <c r="B61" t="s">
        <v>107</v>
      </c>
      <c r="C61" s="4">
        <v>3</v>
      </c>
      <c r="D61" s="4">
        <v>10</v>
      </c>
    </row>
    <row r="62" spans="1:4">
      <c r="A62"/>
      <c r="B62" t="s">
        <v>108</v>
      </c>
      <c r="C62" s="4">
        <v>3</v>
      </c>
      <c r="D62" s="4">
        <v>10</v>
      </c>
    </row>
    <row r="63" spans="1:4">
      <c r="A63"/>
      <c r="B63" t="s">
        <v>109</v>
      </c>
      <c r="C63" s="4">
        <v>3</v>
      </c>
      <c r="D63" s="4">
        <v>10</v>
      </c>
    </row>
    <row r="64" spans="1:4">
      <c r="A64"/>
      <c r="B64" t="s">
        <v>110</v>
      </c>
      <c r="C64" s="4">
        <v>3</v>
      </c>
      <c r="D64" s="4">
        <v>10</v>
      </c>
    </row>
    <row r="65" spans="1:4">
      <c r="A65"/>
      <c r="B65" t="s">
        <v>111</v>
      </c>
      <c r="C65" s="4">
        <v>3</v>
      </c>
      <c r="D65" s="4">
        <v>10</v>
      </c>
    </row>
    <row r="66" spans="1:4">
      <c r="A66"/>
      <c r="B66" t="s">
        <v>112</v>
      </c>
      <c r="C66" s="4">
        <v>3</v>
      </c>
      <c r="D66" s="4">
        <v>10</v>
      </c>
    </row>
    <row r="67" spans="1:4">
      <c r="A67"/>
      <c r="B67" t="s">
        <v>113</v>
      </c>
      <c r="C67" s="4">
        <v>3</v>
      </c>
      <c r="D67" s="4">
        <v>10</v>
      </c>
    </row>
    <row r="68" spans="1:4">
      <c r="A68"/>
      <c r="B68" t="s">
        <v>114</v>
      </c>
      <c r="C68" s="4">
        <v>3</v>
      </c>
      <c r="D68" s="4">
        <v>10</v>
      </c>
    </row>
    <row r="69" spans="1:4">
      <c r="A69"/>
      <c r="B69" t="s">
        <v>115</v>
      </c>
      <c r="C69" s="4">
        <v>3</v>
      </c>
      <c r="D69" s="4">
        <v>10</v>
      </c>
    </row>
    <row r="70" spans="1:4">
      <c r="A70"/>
      <c r="B70" t="s">
        <v>116</v>
      </c>
      <c r="C70" s="4">
        <v>3</v>
      </c>
      <c r="D70" s="4">
        <v>10</v>
      </c>
    </row>
    <row r="71" spans="1:4">
      <c r="A71"/>
      <c r="B71"/>
    </row>
    <row r="72" spans="1:4">
      <c r="A72" t="s">
        <v>121</v>
      </c>
      <c r="B72"/>
    </row>
    <row r="73" spans="1:4">
      <c r="A73"/>
      <c r="B73" t="s">
        <v>105</v>
      </c>
      <c r="C73" s="4">
        <v>10</v>
      </c>
      <c r="D73" s="4">
        <v>25</v>
      </c>
    </row>
    <row r="74" spans="1:4">
      <c r="A74"/>
      <c r="B74" t="s">
        <v>106</v>
      </c>
      <c r="C74" s="4">
        <v>10</v>
      </c>
      <c r="D74" s="4">
        <v>25</v>
      </c>
    </row>
    <row r="75" spans="1:4">
      <c r="A75"/>
      <c r="B75" t="s">
        <v>107</v>
      </c>
      <c r="C75" s="4">
        <v>10</v>
      </c>
      <c r="D75" s="4">
        <v>25</v>
      </c>
    </row>
    <row r="76" spans="1:4">
      <c r="A76"/>
      <c r="B76" t="s">
        <v>108</v>
      </c>
      <c r="C76" s="4">
        <v>10</v>
      </c>
      <c r="D76" s="4">
        <v>25</v>
      </c>
    </row>
    <row r="77" spans="1:4">
      <c r="A77"/>
      <c r="B77" t="s">
        <v>109</v>
      </c>
      <c r="C77" s="4">
        <v>10</v>
      </c>
      <c r="D77" s="4">
        <v>25</v>
      </c>
    </row>
    <row r="78" spans="1:4">
      <c r="A78"/>
      <c r="B78" t="s">
        <v>110</v>
      </c>
      <c r="C78" s="4">
        <v>10</v>
      </c>
      <c r="D78" s="4">
        <v>25</v>
      </c>
    </row>
    <row r="79" spans="1:4">
      <c r="A79"/>
      <c r="B79" t="s">
        <v>111</v>
      </c>
      <c r="C79" s="4">
        <v>10</v>
      </c>
      <c r="D79" s="4">
        <v>25</v>
      </c>
    </row>
    <row r="80" spans="1:4">
      <c r="A80"/>
      <c r="B80" t="s">
        <v>112</v>
      </c>
      <c r="C80" s="4">
        <v>10</v>
      </c>
      <c r="D80" s="4">
        <v>25</v>
      </c>
    </row>
    <row r="81" spans="1:4">
      <c r="A81"/>
      <c r="B81" t="s">
        <v>113</v>
      </c>
      <c r="C81" s="4">
        <v>10</v>
      </c>
      <c r="D81" s="4">
        <v>25</v>
      </c>
    </row>
    <row r="82" spans="1:4">
      <c r="A82"/>
      <c r="B82" t="s">
        <v>114</v>
      </c>
      <c r="C82" s="4">
        <v>10</v>
      </c>
      <c r="D82" s="4">
        <v>25</v>
      </c>
    </row>
    <row r="83" spans="1:4">
      <c r="A83"/>
      <c r="B83" t="s">
        <v>115</v>
      </c>
      <c r="C83" s="4">
        <v>10</v>
      </c>
      <c r="D83" s="4">
        <v>25</v>
      </c>
    </row>
    <row r="84" spans="1:4">
      <c r="A84"/>
      <c r="B84" t="s">
        <v>116</v>
      </c>
      <c r="C84" s="4">
        <v>10</v>
      </c>
      <c r="D84" s="4">
        <v>25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5E2DE-3B26-4324-ABBA-F1C0021EB363}">
  <sheetPr codeName="Sheet29"/>
  <dimension ref="A1:B6"/>
  <sheetViews>
    <sheetView workbookViewId="0">
      <selection activeCell="C12" sqref="C12"/>
    </sheetView>
  </sheetViews>
  <sheetFormatPr defaultColWidth="11.5546875" defaultRowHeight="14.4"/>
  <cols>
    <col min="1" max="16384" width="11.5546875" style="4"/>
  </cols>
  <sheetData>
    <row r="1" spans="1:2">
      <c r="A1" s="4" t="s">
        <v>60</v>
      </c>
      <c r="B1" s="4">
        <v>0.05</v>
      </c>
    </row>
    <row r="2" spans="1:2">
      <c r="A2" s="4" t="s">
        <v>62</v>
      </c>
      <c r="B2" s="4">
        <v>7.0000000000000007E-2</v>
      </c>
    </row>
    <row r="3" spans="1:2">
      <c r="A3" s="4" t="s">
        <v>63</v>
      </c>
      <c r="B3" s="4">
        <v>0.12</v>
      </c>
    </row>
    <row r="4" spans="1:2">
      <c r="A4" s="4" t="s">
        <v>64</v>
      </c>
      <c r="B4" s="4">
        <v>0.2</v>
      </c>
    </row>
    <row r="5" spans="1:2">
      <c r="A5" s="4" t="s">
        <v>61</v>
      </c>
      <c r="B5" s="4">
        <v>0.25</v>
      </c>
    </row>
    <row r="6" spans="1:2">
      <c r="A6" s="4" t="s">
        <v>65</v>
      </c>
      <c r="B6" s="4">
        <f>1-SUM(B1:B5)</f>
        <v>0.31000000000000005</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521C8-C1FA-4A91-86BA-C5F85F412F0C}">
  <sheetPr codeName="Sheet31"/>
  <dimension ref="A1:B2"/>
  <sheetViews>
    <sheetView workbookViewId="0">
      <selection activeCell="D5" sqref="D5"/>
    </sheetView>
  </sheetViews>
  <sheetFormatPr defaultColWidth="11.5546875" defaultRowHeight="14.4"/>
  <cols>
    <col min="1" max="16384" width="11.5546875" style="4"/>
  </cols>
  <sheetData>
    <row r="1" spans="1:2">
      <c r="A1" s="4" t="s">
        <v>66</v>
      </c>
      <c r="B1" s="4">
        <v>0.8</v>
      </c>
    </row>
    <row r="2" spans="1:2">
      <c r="A2" s="4" t="s">
        <v>67</v>
      </c>
      <c r="B2" s="4">
        <v>0.2</v>
      </c>
    </row>
  </sheetData>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B4B10-3DC0-401D-8552-8CFAB0C94229}">
  <sheetPr codeName="Sheet33"/>
  <dimension ref="A1:XFD2"/>
  <sheetViews>
    <sheetView workbookViewId="0">
      <selection activeCell="P5" sqref="P5"/>
    </sheetView>
  </sheetViews>
  <sheetFormatPr defaultRowHeight="14.4"/>
  <sheetData>
    <row r="1" spans="1:26 16384:16384">
      <c r="A1">
        <v>2010</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row>
    <row r="2" spans="1:26 16384:16384">
      <c r="A2">
        <v>0.5</v>
      </c>
      <c r="B2">
        <v>0.5</v>
      </c>
      <c r="C2">
        <v>0.5</v>
      </c>
      <c r="D2">
        <v>0.5</v>
      </c>
      <c r="E2">
        <v>0.5</v>
      </c>
      <c r="F2">
        <v>0.5</v>
      </c>
      <c r="G2">
        <v>0.5</v>
      </c>
      <c r="H2">
        <v>0.5</v>
      </c>
      <c r="I2">
        <v>0.5</v>
      </c>
      <c r="J2">
        <v>0.5</v>
      </c>
      <c r="K2">
        <v>0.5</v>
      </c>
      <c r="L2">
        <v>0.5</v>
      </c>
      <c r="M2">
        <v>0.5</v>
      </c>
      <c r="N2">
        <f>IF('Scenario Inputs'!F107&gt;0,'Scenario Inputs'!F107/365,0.5)</f>
        <v>0.5</v>
      </c>
      <c r="O2">
        <f>IF('Scenario Inputs'!G107&gt;0,'Scenario Inputs'!G107/365,0.5)</f>
        <v>0.5</v>
      </c>
      <c r="P2">
        <f>IF('Scenario Inputs'!H107&gt;0,'Scenario Inputs'!H107/365,0.5)</f>
        <v>0.5</v>
      </c>
      <c r="Q2">
        <f>IF('Scenario Inputs'!I107&gt;0,'Scenario Inputs'!I107/365,0.5)</f>
        <v>0.5</v>
      </c>
      <c r="R2">
        <f>IF('Scenario Inputs'!J107&gt;0,'Scenario Inputs'!J107/365,0.5)</f>
        <v>0.5</v>
      </c>
      <c r="S2">
        <f>IF('Scenario Inputs'!K107&gt;0,'Scenario Inputs'!K107/365,0.5)</f>
        <v>0.5</v>
      </c>
      <c r="T2">
        <f>IF('Scenario Inputs'!L107&gt;0,'Scenario Inputs'!L107/365,0.5)</f>
        <v>0.5</v>
      </c>
      <c r="U2">
        <f>IF('Scenario Inputs'!M107&gt;0,'Scenario Inputs'!M107/365,0.5)</f>
        <v>0.5</v>
      </c>
      <c r="V2">
        <f>IF('Scenario Inputs'!N107&gt;0,'Scenario Inputs'!N107/365,0.5)</f>
        <v>0.5</v>
      </c>
      <c r="W2">
        <f>IF('Scenario Inputs'!O107&gt;0,'Scenario Inputs'!O107/365,0.5)</f>
        <v>0.5</v>
      </c>
      <c r="X2">
        <f>IF('Scenario Inputs'!P107&gt;0,'Scenario Inputs'!P107/365,0.5)</f>
        <v>0.5</v>
      </c>
      <c r="Y2">
        <f>IF('Scenario Inputs'!Q107&gt;0,'Scenario Inputs'!Q107/365,0.5)</f>
        <v>0.5</v>
      </c>
      <c r="Z2">
        <f>IF('Scenario Inputs'!R107&gt;0,'Scenario Inputs'!R107/365,0.5)</f>
        <v>0.5</v>
      </c>
      <c r="XFD2" t="e">
        <f ca="1">VLOOKUP(#REF!,INDIRECT("daily_rate_profiles_all_models!$B$" &amp;#REF!):INDIRECT("daily_rate_profiles_all_models!$AB$" &amp;#REF!),23,TRUE)</f>
        <v>#REF!</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4F35-DF3B-4F61-B131-FC2288065098}">
  <sheetPr codeName="Sheet35"/>
  <dimension ref="A1:C6"/>
  <sheetViews>
    <sheetView workbookViewId="0">
      <selection activeCell="E16" sqref="E16"/>
    </sheetView>
  </sheetViews>
  <sheetFormatPr defaultColWidth="11.5546875" defaultRowHeight="14.4"/>
  <cols>
    <col min="1" max="16384" width="11.5546875" style="4"/>
  </cols>
  <sheetData>
    <row r="1" spans="1:3">
      <c r="A1" s="4" t="s">
        <v>60</v>
      </c>
      <c r="B1" s="4">
        <v>1</v>
      </c>
      <c r="C1" s="4">
        <v>0.1</v>
      </c>
    </row>
    <row r="2" spans="1:3">
      <c r="A2" s="4" t="s">
        <v>62</v>
      </c>
      <c r="B2" s="4">
        <v>2</v>
      </c>
      <c r="C2" s="4">
        <v>0.1</v>
      </c>
    </row>
    <row r="3" spans="1:3">
      <c r="A3" s="4" t="s">
        <v>63</v>
      </c>
      <c r="B3" s="4">
        <v>3</v>
      </c>
      <c r="C3" s="4">
        <v>0.1</v>
      </c>
    </row>
    <row r="4" spans="1:3">
      <c r="A4" s="4" t="s">
        <v>64</v>
      </c>
      <c r="B4" s="4">
        <v>4</v>
      </c>
      <c r="C4" s="4">
        <v>0.1</v>
      </c>
    </row>
    <row r="5" spans="1:3">
      <c r="A5" s="4" t="s">
        <v>61</v>
      </c>
      <c r="B5" s="4">
        <v>5</v>
      </c>
      <c r="C5" s="4">
        <v>0.25</v>
      </c>
    </row>
    <row r="6" spans="1:3">
      <c r="A6" s="4" t="s">
        <v>65</v>
      </c>
      <c r="B6" s="4">
        <v>6</v>
      </c>
      <c r="C6" s="4">
        <v>0.5</v>
      </c>
    </row>
  </sheetData>
  <pageMargins left="0.7" right="0.7" top="0.75" bottom="0.75" header="0.3" footer="0.3"/>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A8EF5-D574-479F-B9AB-3D17722E4C88}">
  <sheetPr codeName="Sheet36"/>
  <dimension ref="A1:C14"/>
  <sheetViews>
    <sheetView workbookViewId="0">
      <selection activeCell="O10" sqref="O10"/>
    </sheetView>
  </sheetViews>
  <sheetFormatPr defaultColWidth="11.5546875" defaultRowHeight="14.4"/>
  <cols>
    <col min="1" max="16384" width="11.5546875" style="4"/>
  </cols>
  <sheetData>
    <row r="1" spans="1:3">
      <c r="A1" s="4">
        <v>1</v>
      </c>
      <c r="B1" s="4">
        <v>0.7</v>
      </c>
      <c r="C1" s="176" t="s">
        <v>143</v>
      </c>
    </row>
    <row r="2" spans="1:3">
      <c r="A2" s="4">
        <v>2</v>
      </c>
      <c r="B2" s="4">
        <v>0.6</v>
      </c>
      <c r="C2" s="176"/>
    </row>
    <row r="3" spans="1:3">
      <c r="A3" s="4">
        <v>3</v>
      </c>
      <c r="B3" s="4">
        <v>0.5</v>
      </c>
      <c r="C3" s="176"/>
    </row>
    <row r="4" spans="1:3">
      <c r="A4" s="4">
        <v>4</v>
      </c>
      <c r="B4" s="4">
        <v>0.4</v>
      </c>
      <c r="C4" s="176"/>
    </row>
    <row r="5" spans="1:3">
      <c r="A5" s="4">
        <v>5</v>
      </c>
      <c r="B5" s="4">
        <v>0.2</v>
      </c>
      <c r="C5" s="176"/>
    </row>
    <row r="6" spans="1:3">
      <c r="A6" s="4">
        <v>6</v>
      </c>
      <c r="B6" s="4">
        <v>0.05</v>
      </c>
      <c r="C6" s="176"/>
    </row>
    <row r="9" spans="1:3">
      <c r="A9" s="4">
        <v>1</v>
      </c>
      <c r="B9" s="4">
        <v>0.7</v>
      </c>
      <c r="C9" s="176" t="s">
        <v>142</v>
      </c>
    </row>
    <row r="10" spans="1:3">
      <c r="A10" s="4">
        <v>2</v>
      </c>
      <c r="B10" s="4">
        <v>0.6</v>
      </c>
      <c r="C10" s="176"/>
    </row>
    <row r="11" spans="1:3">
      <c r="A11" s="4">
        <v>3</v>
      </c>
      <c r="B11" s="4">
        <v>0.5</v>
      </c>
      <c r="C11" s="176"/>
    </row>
    <row r="12" spans="1:3">
      <c r="A12" s="4">
        <v>4</v>
      </c>
      <c r="B12" s="4">
        <v>0.4</v>
      </c>
      <c r="C12" s="176"/>
    </row>
    <row r="13" spans="1:3">
      <c r="A13" s="4">
        <v>5</v>
      </c>
      <c r="B13" s="4">
        <v>0.2</v>
      </c>
      <c r="C13" s="176"/>
    </row>
    <row r="14" spans="1:3">
      <c r="A14" s="4">
        <v>6</v>
      </c>
      <c r="B14" s="4">
        <v>0.05</v>
      </c>
      <c r="C14" s="176"/>
    </row>
  </sheetData>
  <mergeCells count="2">
    <mergeCell ref="C1:C6"/>
    <mergeCell ref="C9:C14"/>
  </mergeCells>
  <pageMargins left="0.7" right="0.7" top="0.75" bottom="0.75" header="0.3" footer="0.3"/>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CFDDE-C92D-4B11-87BA-E7219285939B}">
  <sheetPr codeName="Sheet38"/>
  <dimension ref="A1:C12"/>
  <sheetViews>
    <sheetView workbookViewId="0">
      <selection activeCell="D12" sqref="D12"/>
    </sheetView>
  </sheetViews>
  <sheetFormatPr defaultColWidth="11.5546875" defaultRowHeight="14.4"/>
  <cols>
    <col min="1" max="16384" width="11.5546875" style="4"/>
  </cols>
  <sheetData>
    <row r="1" spans="1:3">
      <c r="A1" s="4" t="s">
        <v>66</v>
      </c>
      <c r="B1" s="4" t="s">
        <v>60</v>
      </c>
      <c r="C1" s="4">
        <v>0.1</v>
      </c>
    </row>
    <row r="2" spans="1:3">
      <c r="A2" s="4" t="s">
        <v>66</v>
      </c>
      <c r="B2" s="4" t="s">
        <v>62</v>
      </c>
      <c r="C2" s="4">
        <v>0.1</v>
      </c>
    </row>
    <row r="3" spans="1:3">
      <c r="A3" s="4" t="s">
        <v>66</v>
      </c>
      <c r="B3" s="4" t="s">
        <v>63</v>
      </c>
      <c r="C3" s="4">
        <v>0.1</v>
      </c>
    </row>
    <row r="4" spans="1:3">
      <c r="A4" s="4" t="s">
        <v>66</v>
      </c>
      <c r="B4" s="4" t="s">
        <v>64</v>
      </c>
      <c r="C4" s="4">
        <v>0.1</v>
      </c>
    </row>
    <row r="5" spans="1:3">
      <c r="A5" s="4" t="s">
        <v>66</v>
      </c>
      <c r="B5" s="4" t="s">
        <v>61</v>
      </c>
      <c r="C5" s="4">
        <v>0.1</v>
      </c>
    </row>
    <row r="6" spans="1:3">
      <c r="A6" s="4" t="s">
        <v>66</v>
      </c>
      <c r="B6" s="4" t="s">
        <v>65</v>
      </c>
      <c r="C6" s="4">
        <v>0.1</v>
      </c>
    </row>
    <row r="7" spans="1:3">
      <c r="A7" s="4" t="s">
        <v>67</v>
      </c>
      <c r="B7" s="4" t="s">
        <v>60</v>
      </c>
      <c r="C7" s="4">
        <v>0</v>
      </c>
    </row>
    <row r="8" spans="1:3">
      <c r="A8" s="4" t="s">
        <v>67</v>
      </c>
      <c r="B8" s="4" t="s">
        <v>62</v>
      </c>
      <c r="C8" s="4">
        <v>0</v>
      </c>
    </row>
    <row r="9" spans="1:3">
      <c r="A9" s="4" t="s">
        <v>67</v>
      </c>
      <c r="B9" s="4" t="s">
        <v>63</v>
      </c>
      <c r="C9" s="4">
        <v>0</v>
      </c>
    </row>
    <row r="10" spans="1:3">
      <c r="A10" s="4" t="s">
        <v>67</v>
      </c>
      <c r="B10" s="4" t="s">
        <v>64</v>
      </c>
      <c r="C10" s="4">
        <v>0</v>
      </c>
    </row>
    <row r="11" spans="1:3">
      <c r="A11" s="4" t="s">
        <v>67</v>
      </c>
      <c r="B11" s="4" t="s">
        <v>61</v>
      </c>
      <c r="C11" s="4">
        <v>0</v>
      </c>
    </row>
    <row r="12" spans="1:3">
      <c r="A12" s="4" t="s">
        <v>67</v>
      </c>
      <c r="B12" s="4" t="s">
        <v>65</v>
      </c>
      <c r="C12" s="4">
        <v>0</v>
      </c>
    </row>
  </sheetData>
  <pageMargins left="0.7" right="0.7" top="0.75" bottom="0.75" header="0.3" footer="0.3"/>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B0ECA-E2F2-4B24-AD41-5C2129DA6CA3}">
  <sheetPr codeName="Sheet41"/>
  <dimension ref="A1:C12"/>
  <sheetViews>
    <sheetView workbookViewId="0">
      <selection activeCell="D12" sqref="D12"/>
    </sheetView>
  </sheetViews>
  <sheetFormatPr defaultColWidth="11.5546875" defaultRowHeight="14.4"/>
  <cols>
    <col min="1" max="16384" width="11.5546875" style="4"/>
  </cols>
  <sheetData>
    <row r="1" spans="1:3">
      <c r="A1" s="4" t="s">
        <v>66</v>
      </c>
      <c r="B1" s="4" t="s">
        <v>60</v>
      </c>
      <c r="C1" s="4">
        <v>0.3</v>
      </c>
    </row>
    <row r="2" spans="1:3">
      <c r="A2" s="4" t="s">
        <v>66</v>
      </c>
      <c r="B2" s="4" t="s">
        <v>62</v>
      </c>
      <c r="C2" s="4">
        <v>0.3</v>
      </c>
    </row>
    <row r="3" spans="1:3">
      <c r="A3" s="4" t="s">
        <v>66</v>
      </c>
      <c r="B3" s="4" t="s">
        <v>63</v>
      </c>
      <c r="C3" s="4">
        <v>0.3</v>
      </c>
    </row>
    <row r="4" spans="1:3">
      <c r="A4" s="4" t="s">
        <v>66</v>
      </c>
      <c r="B4" s="4" t="s">
        <v>64</v>
      </c>
      <c r="C4" s="4">
        <v>0.3</v>
      </c>
    </row>
    <row r="5" spans="1:3">
      <c r="A5" s="4" t="s">
        <v>66</v>
      </c>
      <c r="B5" s="4" t="s">
        <v>61</v>
      </c>
      <c r="C5" s="4">
        <v>0.3</v>
      </c>
    </row>
    <row r="6" spans="1:3">
      <c r="A6" s="4" t="s">
        <v>66</v>
      </c>
      <c r="B6" s="4" t="s">
        <v>65</v>
      </c>
      <c r="C6" s="4">
        <v>0.3</v>
      </c>
    </row>
    <row r="7" spans="1:3">
      <c r="A7" s="4" t="s">
        <v>67</v>
      </c>
      <c r="B7" s="4" t="s">
        <v>60</v>
      </c>
      <c r="C7" s="4">
        <v>0</v>
      </c>
    </row>
    <row r="8" spans="1:3">
      <c r="A8" s="4" t="s">
        <v>67</v>
      </c>
      <c r="B8" s="4" t="s">
        <v>62</v>
      </c>
      <c r="C8" s="4">
        <v>0</v>
      </c>
    </row>
    <row r="9" spans="1:3">
      <c r="A9" s="4" t="s">
        <v>67</v>
      </c>
      <c r="B9" s="4" t="s">
        <v>63</v>
      </c>
      <c r="C9" s="4">
        <v>0</v>
      </c>
    </row>
    <row r="10" spans="1:3">
      <c r="A10" s="4" t="s">
        <v>67</v>
      </c>
      <c r="B10" s="4" t="s">
        <v>64</v>
      </c>
      <c r="C10" s="4">
        <v>0</v>
      </c>
    </row>
    <row r="11" spans="1:3">
      <c r="A11" s="4" t="s">
        <v>67</v>
      </c>
      <c r="B11" s="4" t="s">
        <v>61</v>
      </c>
      <c r="C11" s="4">
        <v>0</v>
      </c>
    </row>
    <row r="12" spans="1:3">
      <c r="A12" s="4" t="s">
        <v>67</v>
      </c>
      <c r="B12" s="4" t="s">
        <v>65</v>
      </c>
      <c r="C12" s="4">
        <v>0</v>
      </c>
    </row>
  </sheetData>
  <pageMargins left="0.7" right="0.7" top="0.75" bottom="0.75" header="0.3" footer="0.3"/>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52496-5310-470A-91F2-C5F204893AA2}">
  <sheetPr codeName="Sheet43"/>
  <dimension ref="A1:E24"/>
  <sheetViews>
    <sheetView workbookViewId="0">
      <selection activeCell="D12" sqref="D12"/>
    </sheetView>
  </sheetViews>
  <sheetFormatPr defaultColWidth="11.5546875" defaultRowHeight="14.4"/>
  <cols>
    <col min="1" max="16384" width="11.5546875" style="4"/>
  </cols>
  <sheetData>
    <row r="1" spans="1:5">
      <c r="A1" s="4" t="s">
        <v>97</v>
      </c>
      <c r="B1" s="4">
        <v>1</v>
      </c>
      <c r="C1" s="4">
        <v>0.69</v>
      </c>
      <c r="D1" s="4">
        <v>0.02</v>
      </c>
      <c r="E1" s="4">
        <v>0.28999999999999998</v>
      </c>
    </row>
    <row r="2" spans="1:5">
      <c r="A2" s="4" t="s">
        <v>97</v>
      </c>
      <c r="B2" s="4">
        <v>2</v>
      </c>
      <c r="C2" s="4">
        <v>0.69</v>
      </c>
      <c r="D2" s="4">
        <v>0.02</v>
      </c>
      <c r="E2" s="4">
        <v>0.28999999999999998</v>
      </c>
    </row>
    <row r="3" spans="1:5">
      <c r="A3" s="4" t="s">
        <v>97</v>
      </c>
      <c r="B3" s="4">
        <v>3</v>
      </c>
      <c r="C3" s="4">
        <v>0.69</v>
      </c>
      <c r="D3" s="4">
        <v>0.02</v>
      </c>
      <c r="E3" s="4">
        <v>0.28999999999999998</v>
      </c>
    </row>
    <row r="4" spans="1:5">
      <c r="A4" s="4" t="s">
        <v>97</v>
      </c>
      <c r="B4" s="4">
        <v>4</v>
      </c>
      <c r="C4" s="4">
        <v>0.69</v>
      </c>
      <c r="D4" s="4">
        <v>0.02</v>
      </c>
      <c r="E4" s="4">
        <v>0.28999999999999998</v>
      </c>
    </row>
    <row r="5" spans="1:5">
      <c r="A5" s="4" t="s">
        <v>97</v>
      </c>
      <c r="B5" s="4">
        <v>5</v>
      </c>
      <c r="C5" s="4">
        <v>0.69</v>
      </c>
      <c r="D5" s="4">
        <v>0.02</v>
      </c>
      <c r="E5" s="4">
        <v>0.28999999999999998</v>
      </c>
    </row>
    <row r="6" spans="1:5">
      <c r="A6" s="4" t="s">
        <v>97</v>
      </c>
      <c r="B6" s="4">
        <v>6</v>
      </c>
      <c r="C6" s="4">
        <v>0.69</v>
      </c>
      <c r="D6" s="4">
        <v>0.02</v>
      </c>
      <c r="E6" s="4">
        <v>0.28999999999999998</v>
      </c>
    </row>
    <row r="7" spans="1:5">
      <c r="A7" s="4" t="s">
        <v>98</v>
      </c>
      <c r="B7" s="4">
        <v>1</v>
      </c>
      <c r="C7" s="4">
        <v>0</v>
      </c>
      <c r="D7" s="4">
        <v>0.2</v>
      </c>
      <c r="E7" s="4">
        <v>0.8</v>
      </c>
    </row>
    <row r="8" spans="1:5">
      <c r="A8" s="4" t="s">
        <v>98</v>
      </c>
      <c r="B8" s="4">
        <v>1</v>
      </c>
      <c r="C8" s="4">
        <v>0</v>
      </c>
      <c r="D8" s="4">
        <v>0.2</v>
      </c>
      <c r="E8" s="4">
        <v>0.8</v>
      </c>
    </row>
    <row r="9" spans="1:5">
      <c r="A9" s="4" t="s">
        <v>98</v>
      </c>
      <c r="B9" s="4">
        <v>1</v>
      </c>
      <c r="C9" s="4">
        <v>0</v>
      </c>
      <c r="D9" s="4">
        <v>0.2</v>
      </c>
      <c r="E9" s="4">
        <v>0.8</v>
      </c>
    </row>
    <row r="10" spans="1:5">
      <c r="A10" s="4" t="s">
        <v>98</v>
      </c>
      <c r="B10" s="4">
        <v>1</v>
      </c>
      <c r="C10" s="4">
        <v>0</v>
      </c>
      <c r="D10" s="4">
        <v>0.2</v>
      </c>
      <c r="E10" s="4">
        <v>0.8</v>
      </c>
    </row>
    <row r="11" spans="1:5">
      <c r="A11" s="4" t="s">
        <v>98</v>
      </c>
      <c r="B11" s="4">
        <v>2</v>
      </c>
      <c r="C11" s="4">
        <v>0</v>
      </c>
      <c r="D11" s="4">
        <v>0.2</v>
      </c>
      <c r="E11" s="4">
        <v>0.8</v>
      </c>
    </row>
    <row r="12" spans="1:5">
      <c r="A12" s="4" t="s">
        <v>98</v>
      </c>
      <c r="B12" s="4">
        <v>2</v>
      </c>
      <c r="C12" s="4">
        <v>0</v>
      </c>
      <c r="D12" s="4">
        <v>0.2</v>
      </c>
      <c r="E12" s="4">
        <v>0.8</v>
      </c>
    </row>
    <row r="13" spans="1:5">
      <c r="A13" s="4" t="s">
        <v>99</v>
      </c>
      <c r="B13" s="4">
        <v>2</v>
      </c>
      <c r="C13" s="4">
        <v>0.9</v>
      </c>
      <c r="D13" s="4">
        <v>0</v>
      </c>
      <c r="E13" s="4">
        <v>0.1</v>
      </c>
    </row>
    <row r="14" spans="1:5">
      <c r="A14" s="4" t="s">
        <v>99</v>
      </c>
      <c r="B14" s="4">
        <v>2</v>
      </c>
      <c r="C14" s="4">
        <v>0.9</v>
      </c>
      <c r="D14" s="4">
        <v>0</v>
      </c>
      <c r="E14" s="4">
        <v>0.1</v>
      </c>
    </row>
    <row r="15" spans="1:5">
      <c r="A15" s="4" t="s">
        <v>99</v>
      </c>
      <c r="B15" s="4">
        <v>3</v>
      </c>
      <c r="C15" s="4">
        <v>0.9</v>
      </c>
      <c r="D15" s="4">
        <v>0</v>
      </c>
      <c r="E15" s="4">
        <v>0.1</v>
      </c>
    </row>
    <row r="16" spans="1:5">
      <c r="A16" s="4" t="s">
        <v>99</v>
      </c>
      <c r="B16" s="4">
        <v>3</v>
      </c>
      <c r="C16" s="4">
        <v>0.9</v>
      </c>
      <c r="D16" s="4">
        <v>0</v>
      </c>
      <c r="E16" s="4">
        <v>0.1</v>
      </c>
    </row>
    <row r="17" spans="1:5">
      <c r="A17" s="4" t="s">
        <v>99</v>
      </c>
      <c r="B17" s="4">
        <v>3</v>
      </c>
      <c r="C17" s="4">
        <v>0.9</v>
      </c>
      <c r="D17" s="4">
        <v>0</v>
      </c>
      <c r="E17" s="4">
        <v>0.1</v>
      </c>
    </row>
    <row r="18" spans="1:5">
      <c r="A18" s="4" t="s">
        <v>99</v>
      </c>
      <c r="B18" s="4">
        <v>3</v>
      </c>
      <c r="C18" s="4">
        <v>0.9</v>
      </c>
      <c r="D18" s="4">
        <v>0</v>
      </c>
      <c r="E18" s="4">
        <v>0.1</v>
      </c>
    </row>
    <row r="19" spans="1:5">
      <c r="A19" s="4" t="s">
        <v>100</v>
      </c>
      <c r="B19" s="4">
        <v>4</v>
      </c>
      <c r="C19" s="4">
        <v>0.98</v>
      </c>
      <c r="D19" s="4">
        <v>0.02</v>
      </c>
      <c r="E19" s="4">
        <v>0</v>
      </c>
    </row>
    <row r="20" spans="1:5">
      <c r="A20" s="4" t="s">
        <v>100</v>
      </c>
      <c r="B20" s="4">
        <v>4</v>
      </c>
      <c r="C20" s="4">
        <v>0.98</v>
      </c>
      <c r="D20" s="4">
        <v>0.02</v>
      </c>
      <c r="E20" s="4">
        <v>0</v>
      </c>
    </row>
    <row r="21" spans="1:5">
      <c r="A21" s="4" t="s">
        <v>100</v>
      </c>
      <c r="B21" s="4">
        <v>4</v>
      </c>
      <c r="C21" s="4">
        <v>0.98</v>
      </c>
      <c r="D21" s="4">
        <v>0.02</v>
      </c>
      <c r="E21" s="4">
        <v>0</v>
      </c>
    </row>
    <row r="22" spans="1:5">
      <c r="A22" s="4" t="s">
        <v>100</v>
      </c>
      <c r="B22" s="4">
        <v>4</v>
      </c>
      <c r="C22" s="4">
        <v>0.98</v>
      </c>
      <c r="D22" s="4">
        <v>0.02</v>
      </c>
      <c r="E22" s="4">
        <v>0</v>
      </c>
    </row>
    <row r="23" spans="1:5">
      <c r="A23" s="4" t="s">
        <v>100</v>
      </c>
      <c r="B23" s="4">
        <v>5</v>
      </c>
      <c r="C23" s="4">
        <v>0.98</v>
      </c>
      <c r="D23" s="4">
        <v>0.02</v>
      </c>
      <c r="E23" s="4">
        <v>0</v>
      </c>
    </row>
    <row r="24" spans="1:5">
      <c r="A24" s="4" t="s">
        <v>100</v>
      </c>
      <c r="B24" s="4">
        <v>5</v>
      </c>
      <c r="C24" s="4">
        <v>0.98</v>
      </c>
      <c r="D24" s="4">
        <v>0.02</v>
      </c>
      <c r="E24" s="4">
        <v>0</v>
      </c>
    </row>
  </sheetData>
  <pageMargins left="0.7" right="0.7" top="0.75" bottom="0.75" header="0.3" footer="0.3"/>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15573-521F-4E46-9E4E-3A526B249950}">
  <sheetPr codeName="Sheet45"/>
  <dimension ref="A1:B14"/>
  <sheetViews>
    <sheetView workbookViewId="0">
      <selection activeCell="C18" sqref="C18"/>
    </sheetView>
  </sheetViews>
  <sheetFormatPr defaultColWidth="11.5546875" defaultRowHeight="14.4"/>
  <cols>
    <col min="1" max="16384" width="11.5546875" style="4"/>
  </cols>
  <sheetData>
    <row r="1" spans="1:2">
      <c r="A1" s="4">
        <v>1</v>
      </c>
      <c r="B1" s="4">
        <v>0.4</v>
      </c>
    </row>
    <row r="2" spans="1:2">
      <c r="A2" s="4">
        <v>2</v>
      </c>
      <c r="B2" s="4">
        <v>0.25</v>
      </c>
    </row>
    <row r="3" spans="1:2">
      <c r="A3" s="4">
        <v>3</v>
      </c>
      <c r="B3" s="4">
        <v>0.25</v>
      </c>
    </row>
    <row r="4" spans="1:2">
      <c r="A4" s="4">
        <v>4</v>
      </c>
      <c r="B4" s="4">
        <v>0.25</v>
      </c>
    </row>
    <row r="5" spans="1:2">
      <c r="A5" s="4">
        <v>5</v>
      </c>
      <c r="B5" s="4">
        <v>0.15</v>
      </c>
    </row>
    <row r="6" spans="1:2">
      <c r="A6" s="4">
        <v>6</v>
      </c>
      <c r="B6" s="4">
        <v>0.02</v>
      </c>
    </row>
    <row r="9" spans="1:2">
      <c r="A9" s="4">
        <v>1</v>
      </c>
      <c r="B9" s="4">
        <v>0.4</v>
      </c>
    </row>
    <row r="10" spans="1:2">
      <c r="A10" s="4">
        <v>2</v>
      </c>
      <c r="B10" s="4">
        <v>0.25</v>
      </c>
    </row>
    <row r="11" spans="1:2">
      <c r="A11" s="4">
        <v>3</v>
      </c>
      <c r="B11" s="4">
        <v>0.25</v>
      </c>
    </row>
    <row r="12" spans="1:2">
      <c r="A12" s="4">
        <v>4</v>
      </c>
      <c r="B12" s="4">
        <v>0.25</v>
      </c>
    </row>
    <row r="13" spans="1:2">
      <c r="A13" s="4">
        <v>5</v>
      </c>
      <c r="B13" s="4">
        <v>0.15</v>
      </c>
    </row>
    <row r="14" spans="1:2">
      <c r="A14" s="4">
        <v>6</v>
      </c>
      <c r="B14" s="4">
        <v>0.02</v>
      </c>
    </row>
  </sheetData>
  <pageMargins left="0.7" right="0.7" top="0.75" bottom="0.75" header="0.3" footer="0.3"/>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C33C-9533-4B3F-8FFE-01D65910E3BC}">
  <dimension ref="A1:B14"/>
  <sheetViews>
    <sheetView workbookViewId="0">
      <selection activeCell="J20" sqref="J20"/>
    </sheetView>
  </sheetViews>
  <sheetFormatPr defaultRowHeight="14.4"/>
  <sheetData>
    <row r="1" spans="1:2">
      <c r="A1" s="4">
        <v>1</v>
      </c>
      <c r="B1">
        <v>0.9</v>
      </c>
    </row>
    <row r="2" spans="1:2">
      <c r="A2" s="4">
        <v>2</v>
      </c>
      <c r="B2">
        <v>0.8</v>
      </c>
    </row>
    <row r="3" spans="1:2">
      <c r="A3" s="4">
        <v>3</v>
      </c>
      <c r="B3">
        <v>0.6</v>
      </c>
    </row>
    <row r="4" spans="1:2">
      <c r="A4" s="4">
        <v>4</v>
      </c>
      <c r="B4">
        <v>0.5</v>
      </c>
    </row>
    <row r="5" spans="1:2">
      <c r="A5" s="4">
        <v>5</v>
      </c>
      <c r="B5">
        <v>0.5</v>
      </c>
    </row>
    <row r="6" spans="1:2">
      <c r="A6" s="4">
        <v>6</v>
      </c>
      <c r="B6">
        <v>0.1</v>
      </c>
    </row>
    <row r="7" spans="1:2">
      <c r="A7" s="4"/>
      <c r="B7" s="4"/>
    </row>
    <row r="8" spans="1:2">
      <c r="A8" s="4"/>
      <c r="B8" s="4"/>
    </row>
    <row r="9" spans="1:2">
      <c r="A9" s="4">
        <v>1</v>
      </c>
      <c r="B9">
        <v>0.6</v>
      </c>
    </row>
    <row r="10" spans="1:2">
      <c r="A10" s="4">
        <v>2</v>
      </c>
      <c r="B10">
        <v>0.3</v>
      </c>
    </row>
    <row r="11" spans="1:2">
      <c r="A11" s="4">
        <v>3</v>
      </c>
      <c r="B11">
        <v>0.3</v>
      </c>
    </row>
    <row r="12" spans="1:2">
      <c r="A12" s="4">
        <v>4</v>
      </c>
      <c r="B12">
        <v>0.3</v>
      </c>
    </row>
    <row r="13" spans="1:2">
      <c r="A13" s="4">
        <v>5</v>
      </c>
      <c r="B13">
        <v>0.15</v>
      </c>
    </row>
    <row r="14" spans="1:2">
      <c r="A14" s="4">
        <v>6</v>
      </c>
      <c r="B14">
        <v>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3b4031e-841f-46f6-bede-a60d28c4ce79">
      <Terms xmlns="http://schemas.microsoft.com/office/infopath/2007/PartnerControls"/>
    </lcf76f155ced4ddcb4097134ff3c332f>
    <TaxCatchAll xmlns="25f82bdf-59aa-449e-b461-28a7236b0743" xsi:nil="true"/>
    <Modifiedtime xmlns="c3b4031e-841f-46f6-bede-a60d28c4ce79" xsi:nil="true"/>
    <BidAuthors xmlns="c3b4031e-841f-46f6-bede-a60d28c4ce79">
      <UserInfo>
        <DisplayName/>
        <AccountId xsi:nil="true"/>
        <AccountType/>
      </UserInfo>
    </BidAutho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0E7D3C5223B647BCF0704F4FD63FF8" ma:contentTypeVersion="22" ma:contentTypeDescription="Create a new document." ma:contentTypeScope="" ma:versionID="1fa9e41d02e9b02fc955bd1400030d11">
  <xsd:schema xmlns:xsd="http://www.w3.org/2001/XMLSchema" xmlns:xs="http://www.w3.org/2001/XMLSchema" xmlns:p="http://schemas.microsoft.com/office/2006/metadata/properties" xmlns:ns2="c3b4031e-841f-46f6-bede-a60d28c4ce79" xmlns:ns3="25f82bdf-59aa-449e-b461-28a7236b0743" targetNamespace="http://schemas.microsoft.com/office/2006/metadata/properties" ma:root="true" ma:fieldsID="ce80f9b71fe371980485e1a61dbeb78d" ns2:_="" ns3:_="">
    <xsd:import namespace="c3b4031e-841f-46f6-bede-a60d28c4ce79"/>
    <xsd:import namespace="25f82bdf-59aa-449e-b461-28a7236b074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3:SharedWithUsers" minOccurs="0"/>
                <xsd:element ref="ns3:SharedWithDetails" minOccurs="0"/>
                <xsd:element ref="ns2:MediaServiceLocation" minOccurs="0"/>
                <xsd:element ref="ns2:MediaLengthInSeconds" minOccurs="0"/>
                <xsd:element ref="ns2:Modifiedtime" minOccurs="0"/>
                <xsd:element ref="ns2:lcf76f155ced4ddcb4097134ff3c332f" minOccurs="0"/>
                <xsd:element ref="ns3:TaxCatchAll" minOccurs="0"/>
                <xsd:element ref="ns2:MediaServiceObjectDetectorVersions" minOccurs="0"/>
                <xsd:element ref="ns2:BidAuthor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b4031e-841f-46f6-bede-a60d28c4ce7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odifiedtime" ma:index="21" nillable="true" ma:displayName="Modified time" ma:format="DateOnly" ma:internalName="Modifiedtime">
      <xsd:simpleType>
        <xsd:restriction base="dms:DateTime"/>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5e3038f7-01d3-45c6-9ff3-08a5a011bcb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BidAuthors" ma:index="26" nillable="true" ma:displayName="Bid Authors" ma:description="People to ask for support when reviewing or using this bid resource." ma:format="Dropdown" ma:list="UserInfo" ma:SharePointGroup="0" ma:internalName="BidAutho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5f82bdf-59aa-449e-b461-28a7236b074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1641132-1795-47e1-8f36-e4641a423036}" ma:internalName="TaxCatchAll" ma:showField="CatchAllData" ma:web="25f82bdf-59aa-449e-b461-28a7236b0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2445AFB-1516-4879-B465-5E6529C74BBB}">
  <ds:schemaRefs>
    <ds:schemaRef ds:uri="http://schemas.microsoft.com/office/2006/metadata/properties"/>
    <ds:schemaRef ds:uri="http://schemas.microsoft.com/office/infopath/2007/PartnerControls"/>
    <ds:schemaRef ds:uri="c3b4031e-841f-46f6-bede-a60d28c4ce79"/>
    <ds:schemaRef ds:uri="25f82bdf-59aa-449e-b461-28a7236b0743"/>
  </ds:schemaRefs>
</ds:datastoreItem>
</file>

<file path=customXml/itemProps2.xml><?xml version="1.0" encoding="utf-8"?>
<ds:datastoreItem xmlns:ds="http://schemas.openxmlformats.org/officeDocument/2006/customXml" ds:itemID="{4AB1A394-CDD1-412D-97FA-5861127EE7E9}">
  <ds:schemaRefs>
    <ds:schemaRef ds:uri="http://schemas.microsoft.com/sharepoint/v3/contenttype/forms"/>
  </ds:schemaRefs>
</ds:datastoreItem>
</file>

<file path=customXml/itemProps3.xml><?xml version="1.0" encoding="utf-8"?>
<ds:datastoreItem xmlns:ds="http://schemas.openxmlformats.org/officeDocument/2006/customXml" ds:itemID="{98A79971-7DA6-46C3-A409-B572481661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b4031e-841f-46f6-bede-a60d28c4ce79"/>
    <ds:schemaRef ds:uri="25f82bdf-59aa-449e-b461-28a7236b074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Cover Sheet</vt:lpstr>
      <vt:lpstr>Background</vt:lpstr>
      <vt:lpstr>DES Pathway Map</vt:lpstr>
      <vt:lpstr>Costing Map</vt:lpstr>
      <vt:lpstr>Methods Overview</vt:lpstr>
      <vt:lpstr>simPy_sheet</vt:lpstr>
      <vt:lpstr>Scenario Inputs</vt:lpstr>
      <vt:lpstr>Cost Inputs</vt:lpstr>
      <vt:lpstr>References</vt:lpstr>
      <vt:lpstr>Hide Selection Settings</vt:lpstr>
      <vt:lpstr>Prev_Pop_Initialisation</vt:lpstr>
      <vt:lpstr>age_dist</vt:lpstr>
      <vt:lpstr>referral_dist</vt:lpstr>
      <vt:lpstr>daily_rate</vt:lpstr>
      <vt:lpstr>divertToCC</vt:lpstr>
      <vt:lpstr>suitableForTx</vt:lpstr>
      <vt:lpstr>preE_Tx_Cadav</vt:lpstr>
      <vt:lpstr>preE_Tx_Live</vt:lpstr>
      <vt:lpstr>modAllocation</vt:lpstr>
      <vt:lpstr>TxType</vt:lpstr>
      <vt:lpstr>receivesTx</vt:lpstr>
      <vt:lpstr>IncCCD1</vt:lpstr>
      <vt:lpstr>IncCCD2</vt:lpstr>
      <vt:lpstr>IncCCD3</vt:lpstr>
      <vt:lpstr>IncCCD4</vt:lpstr>
      <vt:lpstr>IncCCD5</vt:lpstr>
      <vt:lpstr>IncCCD6</vt:lpstr>
      <vt:lpstr>IncHHD</vt:lpstr>
      <vt:lpstr>IncLP</vt:lpstr>
      <vt:lpstr>IncPD</vt:lpstr>
      <vt:lpstr>IncPEcad</vt:lpstr>
      <vt:lpstr>IncPElive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MORGAN, Lucy (NHS MIDLANDS AND LANCASHIRE COMMISSIONING SUPPORT UNIT)</dc:creator>
  <cp:keywords/>
  <dc:description/>
  <cp:lastModifiedBy>MORGAN, Lucy (NHS MIDLANDS AND LANCASHIRE COMMISSIONIN</cp:lastModifiedBy>
  <cp:revision/>
  <dcterms:created xsi:type="dcterms:W3CDTF">2025-02-28T11:20:11Z</dcterms:created>
  <dcterms:modified xsi:type="dcterms:W3CDTF">2026-06-25T15:24:11Z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0x010100F00E7D3C5223B647BCF0704F4FD63FF8</vt:lpwstr>
  </property>
</Properties>
</file>