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AE6E79CD-8019-444F-A4E2-F93723EEF526}" xr6:coauthVersionLast="47" xr6:coauthVersionMax="47" xr10:uidLastSave="{00000000-0000-0000-0000-000000000000}"/>
  <bookViews>
    <workbookView xWindow="28680" yWindow="-120" windowWidth="29040" windowHeight="15720" tabRatio="823" activeTab="6"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state="hidden"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definedNames>
    <definedName name="IncCCD1">'Scenario Inputs'!$G$58</definedName>
    <definedName name="IncCCD2">'Scenario Inputs'!$G$59</definedName>
    <definedName name="IncCCD3">'Scenario Inputs'!$G$60</definedName>
    <definedName name="IncCCD4">'Scenario Inputs'!$G$61</definedName>
    <definedName name="IncCCD5">'Scenario Inputs'!$G$62</definedName>
    <definedName name="IncCCD6">'Scenario Inputs'!$G$63</definedName>
    <definedName name="IncHHD" localSheetId="7">'Cost Inputs'!#REF!</definedName>
    <definedName name="IncHHD">'Scenario Inputs'!$G$48</definedName>
    <definedName name="IncLP">'Scenario Inputs'!$G$64</definedName>
    <definedName name="IncPD">'Scenario Inputs'!$G$49</definedName>
    <definedName name="IncPEcad">'Scenario Inputs'!$G$74</definedName>
    <definedName name="IncPElive">'Scenario Inputs'!$G$73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2" i="10983" l="1"/>
  <c r="O2" i="10962"/>
  <c r="P2" i="10962"/>
  <c r="D6" i="11027" s="1"/>
  <c r="Q2" i="10962"/>
  <c r="E6" i="11027" s="1"/>
  <c r="R2" i="10962"/>
  <c r="F6" i="11027" s="1"/>
  <c r="S2" i="10962"/>
  <c r="G6" i="11027" s="1"/>
  <c r="T2" i="10962"/>
  <c r="H6" i="11027" s="1"/>
  <c r="U2" i="10962"/>
  <c r="I6" i="11027" s="1"/>
  <c r="V2" i="10962"/>
  <c r="J6" i="11027" s="1"/>
  <c r="W2" i="10962"/>
  <c r="K6" i="11027" s="1"/>
  <c r="X2" i="10962"/>
  <c r="L6" i="11027" s="1"/>
  <c r="Y2" i="10962"/>
  <c r="Z2" i="10962"/>
  <c r="N6" i="11027" s="1"/>
  <c r="N2" i="10962"/>
  <c r="B6" i="11027" s="1"/>
  <c r="G83" i="10983"/>
  <c r="H83" i="10983"/>
  <c r="I83" i="10983"/>
  <c r="J83" i="10983"/>
  <c r="K83" i="10983"/>
  <c r="L83" i="10983"/>
  <c r="M83" i="10983"/>
  <c r="N83" i="10983"/>
  <c r="O83" i="10983"/>
  <c r="P83" i="10983"/>
  <c r="Q83" i="10983"/>
  <c r="R83" i="10983"/>
  <c r="F83" i="10983"/>
  <c r="C6" i="11027"/>
  <c r="M6" i="11027"/>
  <c r="C5" i="11027"/>
  <c r="G81" i="10983" s="1"/>
  <c r="D5" i="11027"/>
  <c r="H81" i="10983" s="1"/>
  <c r="E5" i="11027"/>
  <c r="I81" i="10983" s="1"/>
  <c r="F5" i="11027"/>
  <c r="J81" i="10983" s="1"/>
  <c r="G5" i="11027"/>
  <c r="K81" i="10983" s="1"/>
  <c r="H5" i="11027"/>
  <c r="I5" i="11027"/>
  <c r="J5" i="11027"/>
  <c r="K5" i="11027"/>
  <c r="L5" i="11027"/>
  <c r="M5" i="11027"/>
  <c r="N5" i="11027"/>
  <c r="B5" i="11027"/>
  <c r="F81" i="10983" s="1"/>
  <c r="L81" i="10983"/>
  <c r="M81" i="10983"/>
  <c r="N81" i="10983"/>
  <c r="O81" i="10983"/>
  <c r="P81" i="10983"/>
  <c r="Q81" i="10983"/>
  <c r="R81" i="10983"/>
  <c r="B6" i="10929"/>
  <c r="P214" i="11027" l="1"/>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I71" i="10983" l="1"/>
  <c r="J71" i="10983" s="1"/>
  <c r="K71" i="10983" s="1"/>
  <c r="L71" i="10983" s="1"/>
  <c r="M71" i="10983" s="1"/>
  <c r="N71" i="10983" s="1"/>
  <c r="O71" i="10983" s="1"/>
  <c r="P71" i="10983" s="1"/>
  <c r="Q71" i="10983" s="1"/>
  <c r="R71" i="10983" s="1"/>
  <c r="S71" i="10983" s="1"/>
  <c r="T71" i="10983" s="1"/>
  <c r="U71" i="10983" s="1"/>
  <c r="I57" i="10983"/>
  <c r="J57" i="10983" s="1"/>
  <c r="K57" i="10983" s="1"/>
  <c r="L57" i="10983" s="1"/>
  <c r="M57" i="10983" s="1"/>
  <c r="N57" i="10983" s="1"/>
  <c r="O57" i="10983" s="1"/>
  <c r="P57" i="10983" s="1"/>
  <c r="Q57" i="10983" s="1"/>
  <c r="R57" i="10983" s="1"/>
  <c r="S57" i="10983" s="1"/>
  <c r="T57" i="10983" s="1"/>
  <c r="U57" i="10983" s="1"/>
  <c r="G59" i="10983"/>
  <c r="C22" i="11027" s="1"/>
  <c r="G60" i="10983"/>
  <c r="C23" i="11027" s="1"/>
  <c r="G61" i="10983"/>
  <c r="N24" i="11027" s="1"/>
  <c r="G62" i="10983"/>
  <c r="C25" i="11027" s="1"/>
  <c r="G63" i="10983"/>
  <c r="L26" i="11027" s="1"/>
  <c r="G58" i="10983"/>
  <c r="B21" i="11027" s="1"/>
  <c r="I47" i="10983"/>
  <c r="J47" i="10983" s="1"/>
  <c r="K47" i="10983" s="1"/>
  <c r="L47" i="10983" s="1"/>
  <c r="M47" i="10983" s="1"/>
  <c r="N47" i="10983" s="1"/>
  <c r="O47" i="10983" s="1"/>
  <c r="P47" i="10983" s="1"/>
  <c r="Q47" i="10983" s="1"/>
  <c r="R47" i="10983" s="1"/>
  <c r="S47" i="10983" s="1"/>
  <c r="T47" i="10983" s="1"/>
  <c r="U47" i="10983" s="1"/>
  <c r="B2" i="11027"/>
  <c r="F21" i="11027" l="1"/>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V41" i="11010"/>
  <c r="U41" i="11010"/>
  <c r="T41" i="11010"/>
  <c r="S41" i="11010"/>
  <c r="R41" i="11010"/>
  <c r="Q41" i="11010"/>
  <c r="P41" i="11010"/>
  <c r="O41" i="11010"/>
  <c r="N41" i="11010"/>
  <c r="M41" i="11010"/>
  <c r="L41" i="11010"/>
  <c r="K41" i="11010"/>
  <c r="J41" i="11010"/>
  <c r="I41" i="11010"/>
  <c r="V40" i="11010"/>
  <c r="V39" i="11010"/>
  <c r="V38" i="11010"/>
  <c r="V37" i="11010"/>
  <c r="V36" i="11010"/>
  <c r="V35" i="11010"/>
  <c r="V34" i="11010"/>
  <c r="AA27" i="11010"/>
  <c r="Z27" i="11010"/>
  <c r="W27" i="11010"/>
  <c r="AA26" i="11010"/>
  <c r="Z26" i="11010"/>
  <c r="W26" i="11010"/>
  <c r="Q26" i="11010"/>
  <c r="AA25" i="11010"/>
  <c r="Z25" i="11010"/>
  <c r="W25" i="11010"/>
  <c r="Q25" i="11010"/>
  <c r="AA24" i="11010"/>
  <c r="Z24" i="11010"/>
  <c r="W24" i="11010"/>
  <c r="Q24" i="11010"/>
  <c r="AA23" i="11010"/>
  <c r="Z23" i="11010"/>
  <c r="W23" i="11010"/>
  <c r="Q23" i="11010"/>
  <c r="AA22" i="11010"/>
  <c r="Z22" i="11010"/>
  <c r="W22" i="11010"/>
  <c r="Q22" i="11010"/>
  <c r="AA21" i="11010"/>
  <c r="Z21" i="11010"/>
  <c r="W21" i="11010"/>
  <c r="K21" i="11010"/>
  <c r="AA20" i="11010"/>
  <c r="Z20" i="11010"/>
  <c r="W20" i="11010"/>
  <c r="K20" i="11010"/>
  <c r="AA19" i="11010"/>
  <c r="Z19" i="11010"/>
  <c r="W19" i="11010"/>
  <c r="K19" i="11010"/>
  <c r="AA18" i="11010"/>
  <c r="Z18" i="11010"/>
  <c r="W18" i="11010"/>
  <c r="K18" i="11010"/>
  <c r="H76" i="10983"/>
  <c r="T28" i="10983"/>
  <c r="N31" i="10983"/>
  <c r="N30" i="10983"/>
  <c r="N29" i="10983"/>
  <c r="N28" i="10983"/>
  <c r="N27" i="10983"/>
  <c r="N26" i="10983"/>
  <c r="E101" i="11027" l="1"/>
  <c r="B101" i="11027" s="1"/>
  <c r="B50" i="11027"/>
  <c r="J54" i="11027"/>
  <c r="G54" i="11027" s="1"/>
  <c r="J53" i="11027"/>
  <c r="G53" i="11027" s="1"/>
  <c r="J52" i="11027"/>
  <c r="G52" i="11027" s="1"/>
  <c r="C49" i="11027"/>
  <c r="C50" i="11027"/>
  <c r="C51" i="11027"/>
  <c r="J49" i="11027"/>
  <c r="G49" i="11027" s="1"/>
  <c r="I54" i="11027"/>
  <c r="F54" i="11027" s="1"/>
  <c r="E100" i="11027"/>
  <c r="B100" i="11027" s="1"/>
  <c r="B51" i="11027"/>
  <c r="E102" i="11027"/>
  <c r="B102" i="11027" s="1"/>
  <c r="B52" i="11027"/>
  <c r="B53" i="11027"/>
  <c r="B54" i="11027"/>
  <c r="C52" i="11027"/>
  <c r="E97" i="11027"/>
  <c r="B97" i="11027" s="1"/>
  <c r="J50" i="11027"/>
  <c r="G50" i="11027" s="1"/>
  <c r="I53" i="11027"/>
  <c r="F53" i="11027" s="1"/>
  <c r="I50" i="11027"/>
  <c r="F50" i="11027" s="1"/>
  <c r="F97" i="11027"/>
  <c r="C97" i="11027" s="1"/>
  <c r="F100" i="11027"/>
  <c r="C100" i="11027" s="1"/>
  <c r="F101" i="11027"/>
  <c r="C101" i="11027" s="1"/>
  <c r="J51" i="11027"/>
  <c r="G51" i="11027" s="1"/>
  <c r="C53" i="11027"/>
  <c r="I52" i="11027"/>
  <c r="F52" i="11027" s="1"/>
  <c r="I49" i="11027"/>
  <c r="F49" i="11027" s="1"/>
  <c r="E98" i="11027"/>
  <c r="B98" i="11027" s="1"/>
  <c r="F102" i="11027"/>
  <c r="C102" i="11027" s="1"/>
  <c r="I51" i="11027"/>
  <c r="F51"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C71"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D76" i="11027"/>
  <c r="S64" i="11027"/>
  <c r="C72" i="11027"/>
  <c r="C76" i="11027"/>
  <c r="E74" i="11027"/>
  <c r="D74" i="11027"/>
  <c r="S63" i="11027"/>
  <c r="C74" i="11027"/>
  <c r="S65" i="11027"/>
  <c r="D72" i="11027"/>
  <c r="S68" i="11027"/>
  <c r="C68" i="11027"/>
  <c r="E76" i="11027"/>
  <c r="E72" i="11027"/>
  <c r="C63" i="11027"/>
  <c r="C65" i="11027"/>
  <c r="E73" i="11027"/>
  <c r="D73" i="11027"/>
  <c r="C73" i="11027"/>
  <c r="S66" i="11027"/>
  <c r="S67" i="11027"/>
  <c r="C64" i="11027"/>
  <c r="C66" i="11027"/>
  <c r="C67" i="11027"/>
  <c r="V28" i="10983"/>
  <c r="C125" i="11027"/>
  <c r="C124" i="11027"/>
  <c r="C123" i="11027"/>
  <c r="C122" i="11027"/>
  <c r="D126" i="11027"/>
  <c r="D94" i="11027"/>
  <c r="E91" i="11027"/>
  <c r="D121" i="11027"/>
  <c r="D92" i="11027"/>
  <c r="D89" i="11027"/>
  <c r="C85" i="11027"/>
  <c r="C81" i="11027"/>
  <c r="D78" i="11027"/>
  <c r="C126" i="11027"/>
  <c r="C92" i="11027"/>
  <c r="C89" i="11027"/>
  <c r="E87" i="11027"/>
  <c r="C78" i="11027"/>
  <c r="E94" i="11027"/>
  <c r="C87" i="11027"/>
  <c r="D84" i="11027"/>
  <c r="D80" i="11027"/>
  <c r="E77" i="11027"/>
  <c r="G8" i="11027"/>
  <c r="D91" i="11027"/>
  <c r="C84" i="11027"/>
  <c r="C80" i="11027"/>
  <c r="D77" i="11027"/>
  <c r="C94" i="11027"/>
  <c r="C91" i="11027"/>
  <c r="E86" i="11027"/>
  <c r="E82" i="11027"/>
  <c r="C77" i="11027"/>
  <c r="B49" i="11027"/>
  <c r="E93" i="11027"/>
  <c r="E90" i="11027"/>
  <c r="C86" i="11027"/>
  <c r="D83" i="11027"/>
  <c r="C82" i="11027"/>
  <c r="D79" i="11027"/>
  <c r="D125" i="11027"/>
  <c r="D93" i="11027"/>
  <c r="D90" i="11027"/>
  <c r="E75" i="11027"/>
  <c r="E88" i="11027"/>
  <c r="C83" i="11027"/>
  <c r="C79" i="11027"/>
  <c r="D124" i="11027"/>
  <c r="C93" i="11027"/>
  <c r="C90" i="11027"/>
  <c r="D75" i="11027"/>
  <c r="E84" i="11027"/>
  <c r="C75" i="11027"/>
  <c r="E8" i="11027"/>
  <c r="D82" i="11027"/>
  <c r="C8" i="11027"/>
  <c r="D88" i="11027"/>
  <c r="D122" i="11027"/>
  <c r="C88" i="11027"/>
  <c r="E80" i="11027"/>
  <c r="D87" i="11027"/>
  <c r="D86" i="11027"/>
  <c r="E78" i="11027"/>
  <c r="E85" i="11027"/>
  <c r="E81" i="11027"/>
  <c r="E92" i="11027"/>
  <c r="D123" i="11027"/>
  <c r="C121" i="11027"/>
  <c r="E71" i="11027"/>
  <c r="F8" i="11027"/>
  <c r="D8" i="11027"/>
  <c r="E89" i="11027"/>
  <c r="D85" i="11027"/>
  <c r="D81" i="11027"/>
  <c r="E79" i="11027"/>
  <c r="B8" i="11027"/>
  <c r="E83" i="11027"/>
  <c r="D212" i="11027" l="1"/>
  <c r="C212" i="11027"/>
  <c r="F211" i="11027"/>
  <c r="G211" i="11027"/>
  <c r="F169" i="11027"/>
  <c r="F183" i="11027"/>
  <c r="F141" i="11027"/>
  <c r="G155" i="11027"/>
  <c r="G141" i="11027"/>
  <c r="G183" i="11027"/>
  <c r="G169" i="11027"/>
  <c r="G197" i="11027"/>
  <c r="F197" i="11027"/>
  <c r="F155" i="11027"/>
  <c r="C12" i="11027"/>
  <c r="C11" i="11027" s="1"/>
  <c r="D12" i="11027"/>
  <c r="D11" i="11027" s="1"/>
  <c r="E12" i="11027"/>
  <c r="E11" i="11027" s="1"/>
  <c r="F12" i="11027"/>
  <c r="F11" i="11027" s="1"/>
  <c r="G12" i="11027"/>
  <c r="G11" i="11027" s="1"/>
  <c r="H12" i="11027"/>
  <c r="H11" i="11027" s="1"/>
  <c r="I12" i="11027"/>
  <c r="I11" i="11027" s="1"/>
  <c r="J12" i="11027"/>
  <c r="J11" i="11027" s="1"/>
  <c r="K12" i="11027"/>
  <c r="K11" i="11027" s="1"/>
  <c r="L12" i="11027"/>
  <c r="L11" i="11027" s="1"/>
  <c r="M12" i="11027"/>
  <c r="M11" i="11027" s="1"/>
  <c r="N12" i="11027"/>
  <c r="N11" i="11027" s="1"/>
  <c r="B12" i="11027"/>
  <c r="B11" i="11027" s="1"/>
  <c r="G74" i="10983"/>
  <c r="B34" i="11027" s="1"/>
  <c r="G73" i="10983"/>
  <c r="B33" i="11027" s="1"/>
  <c r="B102" i="11010"/>
  <c r="B100" i="11010"/>
  <c r="B99" i="11010"/>
  <c r="B101" i="11010"/>
  <c r="B97" i="11010"/>
  <c r="B98" i="11010"/>
  <c r="G48" i="10983"/>
  <c r="F16" i="11027" s="1"/>
  <c r="D71" i="11027"/>
  <c r="G64" i="10983"/>
  <c r="V26" i="10983"/>
  <c r="G49" i="10983"/>
  <c r="S76" i="11027" l="1"/>
  <c r="S75" i="11027"/>
  <c r="S72" i="11027"/>
  <c r="S71" i="11027"/>
  <c r="S73" i="11027"/>
  <c r="S74" i="11027"/>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AR71"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S57" i="11027" s="1"/>
  <c r="D33" i="11027"/>
  <c r="I33" i="11027"/>
  <c r="E33" i="11027"/>
  <c r="L34" i="11027"/>
  <c r="C34" i="11027"/>
  <c r="C57" i="11027" s="1"/>
  <c r="E34" i="11027"/>
  <c r="M34" i="11027"/>
  <c r="I34" i="11027"/>
  <c r="J34" i="11027"/>
  <c r="K34" i="11027"/>
  <c r="N34" i="11027"/>
  <c r="D34" i="11027"/>
  <c r="D57" i="11027" s="1"/>
  <c r="F34" i="11027"/>
  <c r="G34" i="11027"/>
  <c r="H34" i="11027"/>
  <c r="O34" i="11027"/>
  <c r="V30" i="10983"/>
  <c r="T30" i="10983"/>
  <c r="T27" i="10983"/>
  <c r="V27" i="10983"/>
  <c r="V29" i="10983"/>
  <c r="T29" i="10983"/>
  <c r="V31" i="10983"/>
  <c r="T31" i="10983"/>
  <c r="XFD2" i="10962"/>
  <c r="P72" i="11027" l="1"/>
  <c r="P76" i="11027"/>
  <c r="P73" i="11027"/>
  <c r="P71" i="11027"/>
  <c r="P74" i="11027"/>
  <c r="P75" i="11027"/>
  <c r="AL73" i="11027"/>
  <c r="AL72" i="11027"/>
  <c r="AL74" i="11027"/>
  <c r="AL75" i="11027"/>
  <c r="AL71" i="11027"/>
  <c r="AL76" i="11027"/>
  <c r="Z75" i="11027"/>
  <c r="Z74" i="11027"/>
  <c r="Z76" i="11027"/>
  <c r="Z72" i="11027"/>
  <c r="Z73" i="11027"/>
  <c r="Z71" i="11027"/>
  <c r="W76" i="11027"/>
  <c r="W75" i="11027"/>
  <c r="W72" i="11027"/>
  <c r="W73" i="11027"/>
  <c r="W71" i="11027"/>
  <c r="W74" i="11027"/>
  <c r="AC74" i="11027"/>
  <c r="AC75" i="11027"/>
  <c r="AC76" i="11027"/>
  <c r="AC72" i="11027"/>
  <c r="AC71" i="11027"/>
  <c r="AC73" i="11027"/>
  <c r="J72" i="11027"/>
  <c r="J73" i="11027"/>
  <c r="J74" i="11027"/>
  <c r="J71" i="11027"/>
  <c r="J75" i="11027"/>
  <c r="J76" i="11027"/>
  <c r="M72" i="11027"/>
  <c r="M73" i="11027"/>
  <c r="M76" i="11027"/>
  <c r="M71" i="11027"/>
  <c r="M74" i="11027"/>
  <c r="M75" i="11027"/>
  <c r="AB75" i="11027"/>
  <c r="AB71" i="11027"/>
  <c r="AB74" i="11027"/>
  <c r="AB76" i="11027"/>
  <c r="AB72" i="11027"/>
  <c r="AB73" i="11027"/>
  <c r="K72" i="11027"/>
  <c r="K73" i="11027"/>
  <c r="K76" i="11027"/>
  <c r="K71" i="11027"/>
  <c r="K74" i="11027"/>
  <c r="K75" i="11027"/>
  <c r="AQ72" i="11027"/>
  <c r="AQ71" i="11027"/>
  <c r="AQ73" i="11027"/>
  <c r="AQ76" i="11027"/>
  <c r="AQ74" i="11027"/>
  <c r="AQ75" i="11027"/>
  <c r="AF74" i="11027"/>
  <c r="AF73" i="11027"/>
  <c r="AF75" i="11027"/>
  <c r="AF76" i="11027"/>
  <c r="AF71" i="11027"/>
  <c r="AF72" i="11027"/>
  <c r="T76" i="11027"/>
  <c r="R76" i="11027" s="1"/>
  <c r="T71" i="11027"/>
  <c r="R71" i="11027" s="1"/>
  <c r="T75" i="11027"/>
  <c r="R75" i="11027" s="1"/>
  <c r="T72" i="11027"/>
  <c r="R72" i="11027" s="1"/>
  <c r="T73" i="11027"/>
  <c r="R73" i="11027" s="1"/>
  <c r="T74" i="11027"/>
  <c r="R74" i="11027" s="1"/>
  <c r="N72" i="11027"/>
  <c r="N71" i="11027"/>
  <c r="N76" i="11027"/>
  <c r="N73" i="11027"/>
  <c r="N74" i="11027"/>
  <c r="N75" i="11027"/>
  <c r="AO72" i="11027"/>
  <c r="AO73" i="11027"/>
  <c r="AO74" i="11027"/>
  <c r="AO71" i="11027"/>
  <c r="AO75" i="11027"/>
  <c r="AO76" i="11027"/>
  <c r="AN71" i="11027"/>
  <c r="AM71" i="11027" s="1"/>
  <c r="AN73" i="11027"/>
  <c r="AN72" i="11027"/>
  <c r="AN74" i="11027"/>
  <c r="AN75" i="11027"/>
  <c r="AN76" i="11027"/>
  <c r="Y75" i="11027"/>
  <c r="Y76" i="11027"/>
  <c r="Y71" i="11027"/>
  <c r="Y74" i="11027"/>
  <c r="Y72" i="11027"/>
  <c r="Y73" i="11027"/>
  <c r="AE74" i="11027"/>
  <c r="AE71" i="11027"/>
  <c r="AE75" i="11027"/>
  <c r="AE73" i="11027"/>
  <c r="AE76" i="11027"/>
  <c r="AE72" i="11027"/>
  <c r="AR72" i="11027"/>
  <c r="AR76" i="11027"/>
  <c r="AR73" i="11027"/>
  <c r="AR74" i="11027"/>
  <c r="AR75" i="11027"/>
  <c r="AK73" i="11027"/>
  <c r="AK71" i="11027"/>
  <c r="AK74" i="11027"/>
  <c r="AK72" i="11027"/>
  <c r="AK75" i="11027"/>
  <c r="AK76" i="11027"/>
  <c r="AH74" i="11027"/>
  <c r="AH71" i="11027"/>
  <c r="AH73" i="11027"/>
  <c r="AH75" i="11027"/>
  <c r="AH76" i="11027"/>
  <c r="AH72" i="11027"/>
  <c r="AI74" i="11027"/>
  <c r="AI73" i="11027"/>
  <c r="AI72" i="11027"/>
  <c r="AI75" i="11027"/>
  <c r="AI76" i="11027"/>
  <c r="AI71" i="11027"/>
  <c r="Q72" i="11027"/>
  <c r="Q71" i="11027"/>
  <c r="Q76" i="11027"/>
  <c r="Q73" i="11027"/>
  <c r="Q74" i="11027"/>
  <c r="Q75" i="11027"/>
  <c r="V76" i="11027"/>
  <c r="V75" i="11027"/>
  <c r="V71" i="11027"/>
  <c r="V72" i="11027"/>
  <c r="V73" i="11027"/>
  <c r="V74" i="11027"/>
  <c r="G73" i="11027"/>
  <c r="G74" i="11027"/>
  <c r="G76" i="11027"/>
  <c r="G72" i="11027"/>
  <c r="G75" i="11027"/>
  <c r="G71" i="11027"/>
  <c r="H72" i="11027"/>
  <c r="H76" i="11027"/>
  <c r="H71" i="11027"/>
  <c r="H73" i="11027"/>
  <c r="H75" i="11027"/>
  <c r="H74" i="11027"/>
  <c r="Q44" i="11027"/>
  <c r="Z44" i="11027"/>
  <c r="O84" i="10983"/>
  <c r="AA44" i="11027"/>
  <c r="P44" i="11027"/>
  <c r="W44" i="11027"/>
  <c r="T44" i="11027"/>
  <c r="Y44" i="11027"/>
  <c r="AB44" i="11027"/>
  <c r="S44" i="11027"/>
  <c r="X44" i="11027"/>
  <c r="R44" i="11027"/>
  <c r="V44" i="11027"/>
  <c r="AE59" i="11027"/>
  <c r="AE57" i="11027"/>
  <c r="AE58" i="11027"/>
  <c r="AE61" i="11027"/>
  <c r="AE60" i="11027"/>
  <c r="AE62" i="11027"/>
  <c r="H62" i="11027"/>
  <c r="H61" i="11027"/>
  <c r="H59" i="11027"/>
  <c r="H60" i="11027"/>
  <c r="H58" i="11027"/>
  <c r="H57" i="11027"/>
  <c r="AB61" i="11027"/>
  <c r="AB58" i="11027"/>
  <c r="AB60" i="11027"/>
  <c r="AB57" i="11027"/>
  <c r="AB62" i="11027"/>
  <c r="AB59" i="11027"/>
  <c r="Z61" i="11027"/>
  <c r="Z57" i="11027"/>
  <c r="Z58" i="11027"/>
  <c r="Z60" i="11027"/>
  <c r="Z62" i="11027"/>
  <c r="Z59" i="11027"/>
  <c r="K62" i="11027"/>
  <c r="K59" i="11027"/>
  <c r="K60" i="11027"/>
  <c r="K61" i="11027"/>
  <c r="K57" i="11027"/>
  <c r="K58" i="11027"/>
  <c r="J60" i="11027"/>
  <c r="J59" i="11027"/>
  <c r="J62" i="11027"/>
  <c r="J58" i="11027"/>
  <c r="J57" i="11027"/>
  <c r="J61" i="11027"/>
  <c r="M59" i="11027"/>
  <c r="M60" i="11027"/>
  <c r="M62" i="11027"/>
  <c r="M61" i="11027"/>
  <c r="M57" i="11027"/>
  <c r="M58" i="11027"/>
  <c r="U58" i="11027"/>
  <c r="U60" i="11027"/>
  <c r="U62" i="11027"/>
  <c r="U59" i="11027"/>
  <c r="U57" i="11027"/>
  <c r="U61" i="11027"/>
  <c r="Y61" i="11027"/>
  <c r="Y57" i="11027"/>
  <c r="Y58" i="11027"/>
  <c r="Y60" i="11027"/>
  <c r="Y59" i="11027"/>
  <c r="Y62" i="11027"/>
  <c r="AD58" i="11027"/>
  <c r="AD59" i="11027"/>
  <c r="AD61" i="11027"/>
  <c r="AD57" i="11027"/>
  <c r="AD62" i="11027"/>
  <c r="AD60" i="11027"/>
  <c r="X60" i="11027"/>
  <c r="X57" i="11027"/>
  <c r="X58" i="11027"/>
  <c r="X62" i="11027"/>
  <c r="X61" i="11027"/>
  <c r="X59" i="11027"/>
  <c r="W57" i="11027"/>
  <c r="W58" i="11027"/>
  <c r="W60" i="11027"/>
  <c r="W62" i="11027"/>
  <c r="W59" i="11027"/>
  <c r="W61" i="11027"/>
  <c r="O58" i="11027"/>
  <c r="O60" i="11027"/>
  <c r="O62" i="11027"/>
  <c r="O57" i="11027"/>
  <c r="O61" i="11027"/>
  <c r="O59" i="11027"/>
  <c r="AC59" i="11027"/>
  <c r="AC58" i="11027"/>
  <c r="AC61" i="11027"/>
  <c r="AC57" i="11027"/>
  <c r="AC62" i="11027"/>
  <c r="AC60" i="11027"/>
  <c r="G62" i="11027"/>
  <c r="G61" i="11027"/>
  <c r="G59" i="11027"/>
  <c r="G58" i="11027"/>
  <c r="G57" i="11027"/>
  <c r="G60" i="11027"/>
  <c r="F62" i="11027"/>
  <c r="F61" i="11027"/>
  <c r="F59" i="11027"/>
  <c r="F58" i="11027"/>
  <c r="F60" i="11027"/>
  <c r="F57" i="11027"/>
  <c r="D59" i="11027"/>
  <c r="D58" i="11027"/>
  <c r="D61" i="11027"/>
  <c r="D62" i="11027"/>
  <c r="D60" i="11027"/>
  <c r="N58" i="11027"/>
  <c r="N60" i="11027"/>
  <c r="N62" i="11027"/>
  <c r="N61" i="11027"/>
  <c r="N59" i="11027"/>
  <c r="N57" i="11027"/>
  <c r="I62" i="11027"/>
  <c r="I61" i="11027"/>
  <c r="I59" i="11027"/>
  <c r="I58" i="11027"/>
  <c r="I60" i="11027"/>
  <c r="I57" i="11027"/>
  <c r="E57" i="11027"/>
  <c r="E59" i="11027"/>
  <c r="E61" i="11027"/>
  <c r="E58" i="11027"/>
  <c r="E62" i="11027"/>
  <c r="E60" i="11027"/>
  <c r="C59" i="11027"/>
  <c r="C58" i="11027"/>
  <c r="C61" i="11027"/>
  <c r="C62" i="11027"/>
  <c r="C60" i="11027"/>
  <c r="L59" i="11027"/>
  <c r="L60" i="11027"/>
  <c r="L62" i="11027"/>
  <c r="L61" i="11027"/>
  <c r="L57" i="11027"/>
  <c r="L58" i="11027"/>
  <c r="T58" i="11027"/>
  <c r="T60" i="11027"/>
  <c r="T62" i="11027"/>
  <c r="T61" i="11027"/>
  <c r="T59" i="11027"/>
  <c r="T57" i="11027"/>
  <c r="S59" i="11027"/>
  <c r="S60" i="11027"/>
  <c r="S62" i="11027"/>
  <c r="S58" i="11027"/>
  <c r="S61" i="11027"/>
  <c r="AA57" i="11027"/>
  <c r="AA58" i="11027"/>
  <c r="AA60" i="11027"/>
  <c r="AA61" i="11027"/>
  <c r="AA62" i="11027"/>
  <c r="AA59" i="11027"/>
  <c r="V57" i="11027"/>
  <c r="V60" i="11027"/>
  <c r="V58" i="11027"/>
  <c r="V62" i="11027"/>
  <c r="V61" i="11027"/>
  <c r="V59" i="11027"/>
  <c r="U71" i="11027" l="1"/>
  <c r="I73" i="11027"/>
  <c r="AA74" i="11027"/>
  <c r="O73" i="11027"/>
  <c r="L74" i="11027"/>
  <c r="AG75" i="11027"/>
  <c r="AM72" i="11027"/>
  <c r="L75" i="11027"/>
  <c r="I72" i="11027"/>
  <c r="U74" i="11027"/>
  <c r="O75" i="11027"/>
  <c r="AA71" i="11027"/>
  <c r="AA75" i="11027"/>
  <c r="L71" i="11027"/>
  <c r="U76" i="11027"/>
  <c r="L76" i="11027"/>
  <c r="L73" i="11027"/>
  <c r="L72" i="11027"/>
  <c r="I75" i="11027"/>
  <c r="I71" i="11027"/>
  <c r="I76" i="11027"/>
  <c r="I74" i="11027"/>
  <c r="AD72" i="11027"/>
  <c r="AP75" i="11027"/>
  <c r="AG72" i="11027"/>
  <c r="AD73" i="11027"/>
  <c r="AP76" i="11027"/>
  <c r="AP74" i="11027"/>
  <c r="AG76" i="11027"/>
  <c r="AD75" i="11027"/>
  <c r="AP73" i="11027"/>
  <c r="AM73" i="11027"/>
  <c r="AD76" i="11027"/>
  <c r="AD74" i="11027"/>
  <c r="AP72" i="11027"/>
  <c r="U73" i="11027"/>
  <c r="AG71" i="11027"/>
  <c r="AP71" i="11027"/>
  <c r="X73" i="11027"/>
  <c r="X72" i="11027"/>
  <c r="AG73" i="11027"/>
  <c r="AG74" i="11027"/>
  <c r="AJ76" i="11027"/>
  <c r="AJ72" i="11027"/>
  <c r="X76" i="11027"/>
  <c r="O74" i="11027"/>
  <c r="U75" i="11027"/>
  <c r="X74" i="11027"/>
  <c r="AJ74" i="11027"/>
  <c r="X75" i="11027"/>
  <c r="AA73" i="11027"/>
  <c r="O71" i="11027"/>
  <c r="U72" i="11027"/>
  <c r="AJ75" i="11027"/>
  <c r="AJ71" i="11027"/>
  <c r="AJ73" i="11027"/>
  <c r="AM75" i="11027"/>
  <c r="AA76" i="11027"/>
  <c r="O76" i="11027"/>
  <c r="AD71" i="11027"/>
  <c r="X71" i="11027"/>
  <c r="AM76" i="11027"/>
  <c r="AA72" i="11027"/>
  <c r="AM74" i="11027"/>
  <c r="O72" i="11027"/>
  <c r="F71" i="11027"/>
  <c r="F75" i="11027"/>
  <c r="F72" i="11027"/>
  <c r="F76" i="11027"/>
  <c r="F74" i="11027"/>
  <c r="F73" i="110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<sst xmlns="http://schemas.openxmlformats.org/spreadsheetml/2006/main" count="581" uniqueCount="188">
  <si>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</si>
  <si>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</si>
  <si>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</si>
  <si>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</si>
  <si>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</si>
  <si>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</si>
  <si>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</si>
  <si>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</si>
  <si>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</si>
  <si>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</si>
  <si>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</si>
  <si>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</si>
  <si>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</si>
  <si>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</si>
  <si>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</si>
  <si>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</si>
  <si>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</si>
  <si>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</si>
  <si>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</si>
  <si>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</si>
  <si>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So new value must be between 0 and 100%</t>
  </si>
  <si>
    <t>Diversion to CC and/or reductions in late presentations</t>
  </si>
  <si>
    <t>Transplant Interventions</t>
  </si>
  <si>
    <t xml:space="preserve">New value must be positive, non-zero value. </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</si>
  <si>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</si>
  <si>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</si>
  <si>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</si>
  <si>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</si>
  <si>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</si>
  <si>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</si>
  <si>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</si>
  <si>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</si>
  <si>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</si>
  <si>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</si>
  <si>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</si>
  <si>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</si>
  <si>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</si>
  <si>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</si>
  <si>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</si>
  <si>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</si>
  <si>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</si>
  <si>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</si>
  <si>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</si>
  <si>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</si>
  <si>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</si>
  <si>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</si>
  <si>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</si>
  <si>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</si>
  <si>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</si>
  <si>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</si>
  <si>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</si>
  <si>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</si>
  <si>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</si>
  <si>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</si>
  <si>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</si>
  <si>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</si>
  <si>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</si>
  <si>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</si>
  <si>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</si>
  <si>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</si>
  <si>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</si>
  <si>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</si>
  <si>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</si>
  <si>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</si>
  <si>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</si>
  <si>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</si>
  <si>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</si>
  <si>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</si>
  <si>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</si>
  <si>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</si>
  <si>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</si>
  <si>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</si>
  <si>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</si>
  <si>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</si>
  <si>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 xml:space="preserve">New (Regional) Annual Incidence Profile from CKD </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</si>
  <si>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</si>
  <si>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</si>
  <si>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</si>
  <si>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</si>
  <si>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</si>
  <si>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</si>
  <si>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</si>
  <si>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</si>
  <si>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</si>
  <si>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</si>
  <si>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</si>
  <si>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</si>
  <si>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</si>
  <si>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</si>
  <si>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</si>
  <si>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</si>
  <si>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</si>
  <si>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</si>
  <si>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</si>
  <si>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</si>
  <si>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</si>
  <si>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</si>
  <si>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</si>
  <si>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</si>
  <si>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</si>
  <si>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</si>
  <si>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</si>
  <si>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Change in probability of (early patient) pre-emptive live transplant</t>
  </si>
  <si>
    <t>Change in probability of (early patient) pre-emptive cadaver transplant</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</si>
  <si>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</si>
  <si>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</si>
  <si>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</si>
  <si>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</si>
  <si>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</si>
  <si>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</si>
  <si>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</si>
  <si>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</si>
  <si>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</si>
  <si>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</si>
  <si>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</si>
  <si>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</si>
  <si>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</si>
  <si>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</si>
  <si>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</si>
  <si>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</si>
  <si>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</si>
  <si>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</si>
  <si>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</si>
  <si>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</si>
  <si>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</si>
  <si>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</si>
  <si>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</si>
  <si>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</si>
  <si>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</si>
  <si>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</si>
  <si>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</si>
  <si>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</si>
  <si>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</si>
  <si>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</si>
  <si>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</si>
  <si>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</si>
  <si>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</si>
  <si>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</si>
  <si>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</si>
  <si>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</si>
  <si>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HHD: </t>
    </r>
    <r>
      <rPr>
        <sz val="11"/>
        <color theme="1"/>
        <rFont val="Segoe UI"/>
        <family val="2"/>
      </rPr>
      <t xml:space="preserve">A change to the initial allocation probablity of HHD to a target of x% (and a resulting change to ICHD allocation probability). 
</t>
    </r>
    <r>
      <rPr>
        <b/>
        <sz val="11"/>
        <color theme="1"/>
        <rFont val="Segoe UI"/>
        <family val="2"/>
      </rPr>
      <t>Change in PD:</t>
    </r>
    <r>
      <rPr>
        <sz val="11"/>
        <color theme="1"/>
        <rFont val="Segoe UI"/>
        <family val="2"/>
      </rPr>
      <t xml:space="preserve"> A change to the initial allocation probablity of PD to a target of x% (and a resulting change to ICHD allocation probability). </t>
    </r>
  </si>
  <si>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</si>
  <si>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</si>
  <si>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</si>
  <si>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</si>
  <si>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</si>
  <si>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</si>
  <si>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</si>
  <si>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</si>
  <si>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</si>
  <si>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</si>
  <si>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</si>
  <si>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</si>
  <si>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</si>
  <si>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</si>
  <si>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</si>
  <si>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</si>
  <si>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</si>
  <si>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</si>
  <si>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</si>
  <si>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</si>
  <si>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</si>
  <si>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</si>
  <si>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</si>
  <si>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</si>
  <si>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</si>
  <si>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</si>
  <si>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</si>
  <si>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</si>
  <si>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</si>
  <si>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</si>
  <si>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</si>
  <si>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</si>
  <si>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</si>
  <si>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</si>
  <si>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</si>
  <si>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</si>
  <si>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</si>
  <si>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</si>
  <si>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</si>
  <si>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</si>
  <si>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</si>
  <si>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</si>
  <si>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</si>
  <si>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</si>
  <si>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r>
      <rPr>
        <b/>
        <i/>
        <sz val="11"/>
        <color theme="1"/>
        <rFont val="Segoe UI"/>
        <family val="2"/>
      </rPr>
      <t xml:space="preserve">New CKD Scenario: </t>
    </r>
    <r>
      <rPr>
        <i/>
        <sz val="11"/>
        <color theme="1"/>
        <rFont val="Segoe UI"/>
        <family val="2"/>
      </rPr>
      <t xml:space="preserve">If an alternative scenario has been run using the CKD model OR if you have an alternative incidence projection and would like to use that as an input to this model then input it below.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</si>
  <si>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r>
      <rPr>
        <b/>
        <sz val="11"/>
        <color theme="1"/>
        <rFont val="Segoe UI"/>
        <family val="2"/>
      </rPr>
      <t>Change in probability of receiving a transplant:</t>
    </r>
    <r>
      <rPr>
        <sz val="11"/>
        <color theme="1"/>
        <rFont val="Segoe UI"/>
        <family val="2"/>
      </rPr>
      <t xml:space="preserve"> A relative change in the probability of receiving a transplant by x%. This is applied equally across age groups.</t>
    </r>
    <r>
      <rPr>
        <b/>
        <sz val="11"/>
        <color theme="1"/>
        <rFont val="Segoe UI"/>
        <family val="2"/>
      </rPr>
      <t xml:space="preserve">
Change in pre-emptive transplants:</t>
    </r>
    <r>
      <rPr>
        <sz val="11"/>
        <color theme="1"/>
        <rFont val="Segoe UI"/>
        <family val="2"/>
      </rPr>
      <t xml:space="preserve"> A change in the proportion of incident patients (that do not have late referral status) that have a transplant before they start dialysis. </t>
    </r>
  </si>
  <si>
    <t>Change in probability of receiving a transplant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</si>
</sst>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quot;£&quot;#,##0"/>
    <numFmt numFmtId="166" formatCode="0.0"/>
    <numFmt numFmtId="167"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5">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
      <patternFill patternType="solid">
        <fgColor theme="2"/>
        <bgColor indexed="64"/>
      </patternFill>
    </fill>
    <fill>
      <patternFill patternType="solid">
        <fgColor theme="1" tint="0.499984740745262"/>
        <bgColor indexed="64"/>
      </patternFill>
    </fill>
    <fill>
      <patternFill patternType="solid">
        <fgColor theme="1" tint="0.34998626667073579"/>
        <bgColor indexed="64"/>
      </patternFill>
    </fill>
  </fills>
  <borders count="1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199">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5" borderId="0" xfId="0" applyFont="1" applyFill="1" applyAlignment="1">
      <alignment horizontal="left" vertical="center"/>
    </xf>
    <xf numFmtId="0" fontId="5" fillId="5" borderId="0" xfId="0" applyFont="1" applyFill="1" applyAlignment="1">
      <alignment horizontal="left" vertical="center"/>
    </xf>
    <xf numFmtId="0" fontId="10" fillId="5" borderId="0" xfId="0" applyFont="1" applyFill="1"/>
    <xf numFmtId="0" fontId="11" fillId="5" borderId="0" xfId="0" applyFont="1" applyFill="1"/>
    <xf numFmtId="0" fontId="12" fillId="5" borderId="0" xfId="0" applyFont="1" applyFill="1"/>
    <xf numFmtId="0" fontId="6" fillId="0" borderId="0" xfId="0" applyFont="1"/>
    <xf numFmtId="0" fontId="6" fillId="5" borderId="7" xfId="0" applyFont="1" applyFill="1" applyBorder="1" applyAlignment="1">
      <alignment horizontal="left"/>
    </xf>
    <xf numFmtId="0" fontId="9" fillId="5" borderId="0" xfId="0" applyFont="1" applyFill="1" applyAlignment="1">
      <alignment vertical="center" wrapText="1"/>
    </xf>
    <xf numFmtId="0" fontId="6" fillId="5" borderId="7" xfId="0" applyFont="1" applyFill="1" applyBorder="1"/>
    <xf numFmtId="0" fontId="6" fillId="5" borderId="8" xfId="0" applyFont="1" applyFill="1" applyBorder="1"/>
    <xf numFmtId="0" fontId="6" fillId="5" borderId="9" xfId="0" applyFont="1" applyFill="1" applyBorder="1"/>
    <xf numFmtId="0" fontId="8" fillId="5" borderId="0" xfId="0" applyFont="1" applyFill="1"/>
    <xf numFmtId="0" fontId="9" fillId="5" borderId="0" xfId="0" applyFont="1" applyFill="1"/>
    <xf numFmtId="0" fontId="9" fillId="0" borderId="0" xfId="0" applyFont="1" applyAlignment="1">
      <alignment horizontal="left" vertical="center" wrapText="1"/>
    </xf>
    <xf numFmtId="0" fontId="5" fillId="0" borderId="0" xfId="0" applyFont="1"/>
    <xf numFmtId="0" fontId="6" fillId="0" borderId="9" xfId="0" applyFont="1" applyBorder="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18" fillId="5" borderId="1" xfId="0" applyFont="1" applyFill="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25" fillId="5" borderId="0" xfId="0" applyFont="1" applyFill="1"/>
    <xf numFmtId="0" fontId="25" fillId="0" borderId="0" xfId="0" applyFont="1"/>
    <xf numFmtId="0" fontId="24" fillId="0" borderId="0" xfId="0" applyFont="1"/>
    <xf numFmtId="0" fontId="26" fillId="0" borderId="1" xfId="0" applyFont="1" applyBorder="1"/>
    <xf numFmtId="0" fontId="27" fillId="0" borderId="0" xfId="0" applyFont="1"/>
    <xf numFmtId="0" fontId="0" fillId="7" borderId="2" xfId="0" applyFill="1" applyBorder="1"/>
    <xf numFmtId="0" fontId="9" fillId="6" borderId="0" xfId="0" applyFont="1" applyFill="1" applyAlignment="1">
      <alignment horizontal="left" vertical="top" wrapText="1"/>
    </xf>
    <xf numFmtId="0" fontId="0" fillId="8" borderId="0" xfId="0" applyFill="1"/>
    <xf numFmtId="0" fontId="9" fillId="0" borderId="0" xfId="0" applyFont="1" applyAlignment="1">
      <alignment horizontal="left" vertical="top" wrapText="1"/>
    </xf>
    <xf numFmtId="0" fontId="6" fillId="5" borderId="12" xfId="0" applyFont="1" applyFill="1" applyBorder="1"/>
    <xf numFmtId="0" fontId="6" fillId="5" borderId="13" xfId="0" applyFont="1" applyFill="1" applyBorder="1"/>
    <xf numFmtId="0" fontId="6" fillId="5" borderId="10" xfId="0" applyFont="1" applyFill="1" applyBorder="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15" fillId="0" borderId="0" xfId="0" applyFont="1"/>
    <xf numFmtId="0" fontId="6" fillId="0" borderId="7" xfId="0" applyFont="1" applyBorder="1"/>
    <xf numFmtId="9" fontId="9" fillId="0" borderId="0" xfId="0" applyNumberFormat="1" applyFont="1" applyAlignment="1">
      <alignment horizontal="center" vertical="center"/>
    </xf>
    <xf numFmtId="0" fontId="9" fillId="0" borderId="0" xfId="0" applyFont="1" applyAlignment="1">
      <alignment horizontal="center" vertical="center"/>
    </xf>
    <xf numFmtId="9" fontId="6" fillId="0" borderId="0" xfId="3" applyFont="1" applyFill="1" applyBorder="1" applyAlignment="1">
      <alignment horizontal="center"/>
    </xf>
    <xf numFmtId="0" fontId="6" fillId="5" borderId="0" xfId="0" applyFont="1" applyFill="1" applyAlignment="1">
      <alignment horizontal="center"/>
    </xf>
    <xf numFmtId="1" fontId="6" fillId="5" borderId="2" xfId="3" applyNumberFormat="1" applyFont="1" applyFill="1" applyBorder="1"/>
    <xf numFmtId="1" fontId="6" fillId="0" borderId="2" xfId="3" applyNumberFormat="1" applyFont="1" applyFill="1" applyBorder="1" applyAlignment="1">
      <alignment horizontal="center" vertical="center"/>
    </xf>
    <xf numFmtId="0" fontId="6" fillId="9" borderId="2" xfId="0" applyFont="1" applyFill="1" applyBorder="1"/>
    <xf numFmtId="1" fontId="3" fillId="0" borderId="2" xfId="2" applyNumberFormat="1" applyBorder="1" applyAlignment="1">
      <alignment horizontal="center"/>
    </xf>
    <xf numFmtId="2" fontId="3" fillId="0" borderId="2" xfId="2" applyNumberFormat="1" applyBorder="1" applyAlignment="1">
      <alignment horizontal="center"/>
    </xf>
    <xf numFmtId="2" fontId="0" fillId="0" borderId="2" xfId="0" applyNumberFormat="1" applyBorder="1" applyAlignment="1">
      <alignment horizontal="center"/>
    </xf>
    <xf numFmtId="9" fontId="0" fillId="7" borderId="2" xfId="3" applyFont="1" applyFill="1" applyBorder="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applyAlignment="1">
      <alignment horizontal="center"/>
    </xf>
    <xf numFmtId="0" fontId="9" fillId="0" borderId="0" xfId="0" applyFont="1" applyAlignment="1">
      <alignment vertical="center" wrapText="1"/>
    </xf>
    <xf numFmtId="9" fontId="0" fillId="0" borderId="2" xfId="3" applyFont="1" applyFill="1" applyBorder="1"/>
    <xf numFmtId="0" fontId="6" fillId="0" borderId="0" xfId="0" applyFont="1" applyAlignment="1">
      <alignment horizontal="left" vertical="top" wrapText="1"/>
    </xf>
    <xf numFmtId="2" fontId="0" fillId="13" borderId="2" xfId="0" applyNumberFormat="1" applyFill="1" applyBorder="1"/>
    <xf numFmtId="2" fontId="0" fillId="0" borderId="0" xfId="0" applyNumberFormat="1"/>
    <xf numFmtId="0" fontId="6" fillId="14" borderId="7" xfId="0" applyFont="1" applyFill="1" applyBorder="1"/>
    <xf numFmtId="0" fontId="6" fillId="14" borderId="8" xfId="0" applyFont="1" applyFill="1" applyBorder="1"/>
    <xf numFmtId="0" fontId="0" fillId="9" borderId="5" xfId="0" applyFill="1" applyBorder="1"/>
    <xf numFmtId="0" fontId="0" fillId="0" borderId="3" xfId="0" applyBorder="1"/>
    <xf numFmtId="0" fontId="0" fillId="0" borderId="4" xfId="0" applyBorder="1"/>
    <xf numFmtId="0" fontId="6" fillId="6" borderId="0" xfId="0" applyFont="1" applyFill="1" applyAlignment="1">
      <alignment horizontal="left" vertical="top" wrapText="1"/>
    </xf>
    <xf numFmtId="9" fontId="9" fillId="5" borderId="3" xfId="0" applyNumberFormat="1" applyFont="1" applyFill="1" applyBorder="1" applyAlignment="1">
      <alignment horizontal="center" vertical="center"/>
    </xf>
    <xf numFmtId="0" fontId="9" fillId="5" borderId="5" xfId="0" applyFont="1" applyFill="1" applyBorder="1" applyAlignment="1">
      <alignment horizontal="center" vertical="center"/>
    </xf>
    <xf numFmtId="9" fontId="6" fillId="3" borderId="3" xfId="3" applyFont="1" applyFill="1" applyBorder="1" applyAlignment="1">
      <alignment horizontal="center"/>
    </xf>
    <xf numFmtId="9" fontId="6" fillId="3" borderId="4" xfId="3" applyFont="1" applyFill="1" applyBorder="1" applyAlignment="1">
      <alignment horizontal="center"/>
    </xf>
    <xf numFmtId="9" fontId="6" fillId="3" borderId="5" xfId="3" applyFont="1" applyFill="1" applyBorder="1" applyAlignment="1">
      <alignment horizontal="center"/>
    </xf>
    <xf numFmtId="0" fontId="6" fillId="6" borderId="0" xfId="0" applyFont="1" applyFill="1" applyAlignment="1">
      <alignment horizontal="left" vertical="top"/>
    </xf>
    <xf numFmtId="0" fontId="8" fillId="7" borderId="2" xfId="0" applyFont="1" applyFill="1" applyBorder="1" applyAlignment="1">
      <alignment horizontal="center"/>
    </xf>
    <xf numFmtId="0" fontId="8" fillId="0" borderId="0" xfId="0" applyFont="1" applyAlignment="1">
      <alignment horizontal="left"/>
    </xf>
    <xf numFmtId="0" fontId="6" fillId="5" borderId="3" xfId="0" applyFont="1" applyFill="1" applyBorder="1" applyAlignment="1">
      <alignment horizontal="left"/>
    </xf>
    <xf numFmtId="0" fontId="6" fillId="5" borderId="4" xfId="0" applyFont="1" applyFill="1" applyBorder="1" applyAlignment="1">
      <alignment horizontal="left"/>
    </xf>
    <xf numFmtId="0" fontId="6" fillId="5" borderId="5" xfId="0" applyFont="1" applyFill="1" applyBorder="1" applyAlignment="1">
      <alignment horizontal="left"/>
    </xf>
    <xf numFmtId="0" fontId="6" fillId="0" borderId="6" xfId="0" applyFont="1" applyBorder="1" applyAlignment="1">
      <alignment horizontal="left"/>
    </xf>
    <xf numFmtId="0" fontId="6" fillId="0" borderId="7" xfId="0" applyFont="1" applyBorder="1" applyAlignment="1">
      <alignment horizontal="left"/>
    </xf>
    <xf numFmtId="0" fontId="6" fillId="0" borderId="8" xfId="0" applyFont="1" applyBorder="1" applyAlignment="1">
      <alignment horizontal="left"/>
    </xf>
    <xf numFmtId="0" fontId="6" fillId="5" borderId="1" xfId="0" applyFont="1" applyFill="1" applyBorder="1" applyAlignment="1">
      <alignment horizontal="center"/>
    </xf>
    <xf numFmtId="0" fontId="6" fillId="5" borderId="1" xfId="0" applyFont="1" applyFill="1" applyBorder="1" applyAlignment="1">
      <alignment vertical="center" wrapText="1"/>
    </xf>
    <xf numFmtId="0" fontId="6" fillId="5" borderId="1" xfId="0" applyFont="1" applyFill="1" applyBorder="1" applyAlignment="1">
      <alignment vertical="center"/>
    </xf>
    <xf numFmtId="9" fontId="9" fillId="5" borderId="6" xfId="0" applyNumberFormat="1" applyFont="1" applyFill="1" applyBorder="1" applyAlignment="1">
      <alignment horizontal="center" vertical="center"/>
    </xf>
    <xf numFmtId="0" fontId="9" fillId="5" borderId="8" xfId="0" applyFont="1" applyFill="1" applyBorder="1" applyAlignment="1">
      <alignment horizontal="center" vertical="center"/>
    </xf>
    <xf numFmtId="9" fontId="6" fillId="3" borderId="6" xfId="3" applyFont="1" applyFill="1" applyBorder="1" applyAlignment="1">
      <alignment horizontal="center"/>
    </xf>
    <xf numFmtId="9" fontId="6" fillId="3" borderId="7" xfId="3" applyFont="1" applyFill="1" applyBorder="1" applyAlignment="1">
      <alignment horizontal="center"/>
    </xf>
    <xf numFmtId="9" fontId="6" fillId="3" borderId="8" xfId="3" applyFont="1" applyFill="1" applyBorder="1" applyAlignment="1">
      <alignment horizontal="center"/>
    </xf>
    <xf numFmtId="2" fontId="6" fillId="5" borderId="3" xfId="0" applyNumberFormat="1" applyFont="1" applyFill="1" applyBorder="1" applyAlignment="1">
      <alignment horizontal="center"/>
    </xf>
    <xf numFmtId="2" fontId="6" fillId="5" borderId="5" xfId="0" applyNumberFormat="1" applyFont="1" applyFill="1" applyBorder="1" applyAlignment="1">
      <alignment horizontal="center"/>
    </xf>
    <xf numFmtId="0" fontId="6" fillId="5" borderId="0" xfId="0" applyFont="1" applyFill="1" applyAlignment="1">
      <alignment horizontal="center" wrapText="1"/>
    </xf>
    <xf numFmtId="0" fontId="6" fillId="5" borderId="1" xfId="0" applyFont="1" applyFill="1" applyBorder="1" applyAlignment="1">
      <alignment horizontal="center" wrapText="1"/>
    </xf>
    <xf numFmtId="0" fontId="9" fillId="6" borderId="0" xfId="0" applyFont="1" applyFill="1" applyAlignment="1">
      <alignment horizontal="left" vertical="top" wrapText="1"/>
    </xf>
    <xf numFmtId="9" fontId="9" fillId="0" borderId="7" xfId="0" applyNumberFormat="1" applyFont="1" applyBorder="1" applyAlignment="1">
      <alignment horizontal="center"/>
    </xf>
    <xf numFmtId="167" fontId="6" fillId="5" borderId="3" xfId="0" applyNumberFormat="1" applyFont="1" applyFill="1" applyBorder="1" applyAlignment="1">
      <alignment horizontal="center"/>
    </xf>
    <xf numFmtId="167" fontId="6" fillId="5" borderId="5" xfId="0" applyNumberFormat="1" applyFont="1" applyFill="1" applyBorder="1" applyAlignment="1">
      <alignment horizontal="center"/>
    </xf>
    <xf numFmtId="0" fontId="6" fillId="12" borderId="0" xfId="0" applyFont="1" applyFill="1" applyAlignment="1">
      <alignment horizontal="left" vertical="top" wrapText="1"/>
    </xf>
    <xf numFmtId="9" fontId="6" fillId="0" borderId="2" xfId="0" applyNumberFormat="1" applyFont="1" applyBorder="1" applyAlignment="1">
      <alignment horizontal="center"/>
    </xf>
    <xf numFmtId="0" fontId="6" fillId="0" borderId="0" xfId="0" applyFont="1" applyAlignment="1">
      <alignment horizontal="center" wrapText="1"/>
    </xf>
    <xf numFmtId="166" fontId="6" fillId="13" borderId="2" xfId="3" applyNumberFormat="1" applyFont="1" applyFill="1" applyBorder="1" applyAlignment="1">
      <alignment horizontal="center"/>
    </xf>
    <xf numFmtId="9" fontId="6" fillId="0" borderId="2" xfId="3" applyFont="1" applyFill="1" applyBorder="1" applyAlignment="1">
      <alignment horizontal="center"/>
    </xf>
    <xf numFmtId="0" fontId="1" fillId="0" borderId="2" xfId="0" applyFont="1" applyBorder="1" applyAlignment="1">
      <alignment horizontal="center"/>
    </xf>
    <xf numFmtId="9" fontId="6" fillId="5" borderId="3" xfId="0" applyNumberFormat="1" applyFont="1" applyFill="1" applyBorder="1" applyAlignment="1">
      <alignment horizontal="center"/>
    </xf>
    <xf numFmtId="9" fontId="6" fillId="5" borderId="5" xfId="0" applyNumberFormat="1" applyFont="1" applyFill="1" applyBorder="1" applyAlignment="1">
      <alignment horizontal="center"/>
    </xf>
    <xf numFmtId="2" fontId="6" fillId="5" borderId="3" xfId="3" applyNumberFormat="1" applyFont="1" applyFill="1" applyBorder="1" applyAlignment="1">
      <alignment horizontal="center"/>
    </xf>
    <xf numFmtId="2" fontId="6" fillId="5" borderId="5" xfId="3" applyNumberFormat="1" applyFont="1" applyFill="1" applyBorder="1" applyAlignment="1">
      <alignment horizontal="center"/>
    </xf>
    <xf numFmtId="0" fontId="3" fillId="0" borderId="0" xfId="2" applyAlignment="1">
      <alignment horizontal="center"/>
    </xf>
    <xf numFmtId="0" fontId="0" fillId="0" borderId="0" xfId="0" applyAlignment="1">
      <alignment horizontal="center"/>
    </xf>
    <xf numFmtId="165" fontId="14" fillId="5" borderId="2" xfId="0" applyNumberFormat="1" applyFont="1" applyFill="1" applyBorder="1" applyAlignment="1">
      <alignment horizontal="center" vertical="center"/>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0" fontId="17" fillId="5" borderId="2" xfId="0" applyFont="1" applyFill="1" applyBorder="1" applyAlignment="1">
      <alignment horizontal="center"/>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0" xfId="0" applyFont="1" applyFill="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0" fontId="5" fillId="5" borderId="10" xfId="0" applyFont="1" applyFill="1" applyBorder="1" applyAlignment="1">
      <alignment horizontal="center"/>
    </xf>
    <xf numFmtId="0" fontId="5" fillId="5" borderId="2" xfId="0" applyFont="1" applyFill="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165" fontId="6" fillId="5" borderId="2" xfId="0" applyNumberFormat="1" applyFont="1" applyFill="1" applyBorder="1" applyAlignment="1">
      <alignment horizontal="center"/>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8" fillId="7" borderId="3" xfId="0" applyFont="1" applyFill="1" applyBorder="1" applyAlignment="1">
      <alignment horizontal="center"/>
    </xf>
    <xf numFmtId="0" fontId="8" fillId="7" borderId="5" xfId="0" applyFont="1" applyFill="1" applyBorder="1" applyAlignment="1">
      <alignment horizontal="center"/>
    </xf>
    <xf numFmtId="3" fontId="8" fillId="7" borderId="3" xfId="0" applyNumberFormat="1" applyFont="1" applyFill="1" applyBorder="1" applyAlignment="1">
      <alignment horizontal="center"/>
    </xf>
    <xf numFmtId="0" fontId="5" fillId="5" borderId="1" xfId="0" applyFont="1" applyFill="1" applyBorder="1" applyAlignment="1">
      <alignment horizontal="center" wrapText="1"/>
    </xf>
    <xf numFmtId="0" fontId="9" fillId="6" borderId="0" xfId="0" applyFont="1" applyFill="1" applyAlignment="1">
      <alignment horizontal="center" vertical="top" wrapText="1"/>
    </xf>
  </cellXfs>
  <cellStyles count="4">
    <cellStyle name="Normal" xfId="0" builtinId="0"/>
    <cellStyle name="Normal 2" xfId="1" xr:uid="{F40257E6-EB5B-4056-91C4-80B420ABB594}"/>
    <cellStyle name="Normal 3" xfId="2" xr:uid="{E9DEE174-B3ED-4D3C-BDDA-699D04021E7E}"/>
    <cellStyle name="Percent" xfId="3" builtinId="5"/>
  </cellStyles>
  <dxfs count="8">
    <dxf>
      <font>
        <color rgb="FFC00000"/>
      </font>
      <fill>
        <patternFill>
          <bgColor rgb="FFFFC1C1"/>
        </patternFill>
      </fill>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theme="0"/>
      </font>
      <fill>
        <patternFill>
          <bgColor theme="0"/>
        </patternFill>
      </fill>
      <border>
        <left/>
        <right/>
        <top/>
        <bottom/>
        <vertical/>
        <horizontal/>
      </border>
    </dxf>
  </dxfs>
  <tableStyles count="0" defaultTableStyle="TableStyleMedium2" defaultPivotStyle="PivotStyleLight16"/>
  <colors>
    <mruColors>
      <color rgb="FFA6BBDE"/>
      <color rgb="FF5881C1"/>
      <color rgb="FFC8D5EA"/>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3574" y="221194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9397" y="2227765"/>
        <a:ext cx="1048799" cy="508576"/>
      </dsp:txXfrm>
    </dsp:sp>
    <dsp:sp modelId="{BC67764E-F868-4BC7-88D4-3FB4FCFB2B03}">
      <dsp:nvSpPr>
        <dsp:cNvPr id="0" name=""/>
        <dsp:cNvSpPr/>
      </dsp:nvSpPr>
      <dsp:spPr>
        <a:xfrm rot="17230830">
          <a:off x="568552" y="1773923"/>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1746563"/>
        <a:ext cx="73155" cy="73155"/>
      </dsp:txXfrm>
    </dsp:sp>
    <dsp:sp modelId="{58126035-A1CC-4804-BB45-A7E54E1B14D3}">
      <dsp:nvSpPr>
        <dsp:cNvPr id="0" name=""/>
        <dsp:cNvSpPr/>
      </dsp:nvSpPr>
      <dsp:spPr>
        <a:xfrm>
          <a:off x="151619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532020" y="829939"/>
        <a:ext cx="1048799" cy="508576"/>
      </dsp:txXfrm>
    </dsp:sp>
    <dsp:sp modelId="{B857DDB7-FDF2-4AB5-B907-54C4D3C617BF}">
      <dsp:nvSpPr>
        <dsp:cNvPr id="0" name=""/>
        <dsp:cNvSpPr/>
      </dsp:nvSpPr>
      <dsp:spPr>
        <a:xfrm>
          <a:off x="259664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1073423"/>
        <a:ext cx="21608" cy="21608"/>
      </dsp:txXfrm>
    </dsp:sp>
    <dsp:sp modelId="{28D930D6-D1CC-4AEA-BF56-1A0057FC6818}">
      <dsp:nvSpPr>
        <dsp:cNvPr id="0" name=""/>
        <dsp:cNvSpPr/>
      </dsp:nvSpPr>
      <dsp:spPr>
        <a:xfrm>
          <a:off x="3028821" y="1021716"/>
          <a:ext cx="1080445" cy="1250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3032483" y="1025378"/>
        <a:ext cx="1073121" cy="117699"/>
      </dsp:txXfrm>
    </dsp:sp>
    <dsp:sp modelId="{D465B9D5-76C5-460F-B75F-1EEBB1AEF4BD}">
      <dsp:nvSpPr>
        <dsp:cNvPr id="0" name=""/>
        <dsp:cNvSpPr/>
      </dsp:nvSpPr>
      <dsp:spPr>
        <a:xfrm>
          <a:off x="4109266"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073423"/>
        <a:ext cx="21608" cy="21608"/>
      </dsp:txXfrm>
    </dsp:sp>
    <dsp:sp modelId="{C33C51E7-9AC2-4AF1-AB1C-DF47A3951776}">
      <dsp:nvSpPr>
        <dsp:cNvPr id="0" name=""/>
        <dsp:cNvSpPr/>
      </dsp:nvSpPr>
      <dsp:spPr>
        <a:xfrm>
          <a:off x="454144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557267" y="829939"/>
        <a:ext cx="1048799" cy="508576"/>
      </dsp:txXfrm>
    </dsp:sp>
    <dsp:sp modelId="{7FFC39D3-0546-4338-A03D-3BEA5A9F48D1}">
      <dsp:nvSpPr>
        <dsp:cNvPr id="0" name=""/>
        <dsp:cNvSpPr/>
      </dsp:nvSpPr>
      <dsp:spPr>
        <a:xfrm>
          <a:off x="562188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073423"/>
        <a:ext cx="21608" cy="21608"/>
      </dsp:txXfrm>
    </dsp:sp>
    <dsp:sp modelId="{DEAE5233-53DC-48B0-9092-BF78F921775F}">
      <dsp:nvSpPr>
        <dsp:cNvPr id="0" name=""/>
        <dsp:cNvSpPr/>
      </dsp:nvSpPr>
      <dsp:spPr>
        <a:xfrm>
          <a:off x="605406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829939"/>
        <a:ext cx="1048799" cy="508576"/>
      </dsp:txXfrm>
    </dsp:sp>
    <dsp:sp modelId="{6C07057A-0993-4A4C-A1FC-7E3C90630CF5}">
      <dsp:nvSpPr>
        <dsp:cNvPr id="0" name=""/>
        <dsp:cNvSpPr/>
      </dsp:nvSpPr>
      <dsp:spPr>
        <a:xfrm>
          <a:off x="713451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073423"/>
        <a:ext cx="21608" cy="21608"/>
      </dsp:txXfrm>
    </dsp:sp>
    <dsp:sp modelId="{BB0A11FC-F935-4893-9E1A-A94FFAC4AE10}">
      <dsp:nvSpPr>
        <dsp:cNvPr id="0" name=""/>
        <dsp:cNvSpPr/>
      </dsp:nvSpPr>
      <dsp:spPr>
        <a:xfrm>
          <a:off x="7566690"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829939"/>
        <a:ext cx="1048799" cy="508576"/>
      </dsp:txXfrm>
    </dsp:sp>
    <dsp:sp modelId="{79E0999D-89C1-4FE8-831F-E869D069138D}">
      <dsp:nvSpPr>
        <dsp:cNvPr id="0" name=""/>
        <dsp:cNvSpPr/>
      </dsp:nvSpPr>
      <dsp:spPr>
        <a:xfrm>
          <a:off x="8647135"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073423"/>
        <a:ext cx="21608" cy="21608"/>
      </dsp:txXfrm>
    </dsp:sp>
    <dsp:sp modelId="{95C61D53-300C-4DE4-870C-DD6C24935C0C}">
      <dsp:nvSpPr>
        <dsp:cNvPr id="0" name=""/>
        <dsp:cNvSpPr/>
      </dsp:nvSpPr>
      <dsp:spPr>
        <a:xfrm>
          <a:off x="907931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829939"/>
        <a:ext cx="1048799" cy="508576"/>
      </dsp:txXfrm>
    </dsp:sp>
    <dsp:sp modelId="{BB5AFC37-3889-42CA-8944-D3A53523793F}">
      <dsp:nvSpPr>
        <dsp:cNvPr id="0" name=""/>
        <dsp:cNvSpPr/>
      </dsp:nvSpPr>
      <dsp:spPr>
        <a:xfrm>
          <a:off x="1015975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073423"/>
        <a:ext cx="21608" cy="21608"/>
      </dsp:txXfrm>
    </dsp:sp>
    <dsp:sp modelId="{158FC5B0-BD1E-485A-8B01-82528D1E9C2E}">
      <dsp:nvSpPr>
        <dsp:cNvPr id="0" name=""/>
        <dsp:cNvSpPr/>
      </dsp:nvSpPr>
      <dsp:spPr>
        <a:xfrm>
          <a:off x="1059193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607760" y="829939"/>
        <a:ext cx="1048799" cy="508576"/>
      </dsp:txXfrm>
    </dsp:sp>
    <dsp:sp modelId="{91D01C26-9709-41EC-A65C-3D106AAC4F07}">
      <dsp:nvSpPr>
        <dsp:cNvPr id="0" name=""/>
        <dsp:cNvSpPr/>
      </dsp:nvSpPr>
      <dsp:spPr>
        <a:xfrm rot="20413970">
          <a:off x="1070489" y="2395179"/>
          <a:ext cx="459238" cy="18435"/>
        </a:xfrm>
        <a:custGeom>
          <a:avLst/>
          <a:gdLst/>
          <a:ahLst/>
          <a:cxnLst/>
          <a:rect l="0" t="0" r="0" b="0"/>
          <a:pathLst>
            <a:path>
              <a:moveTo>
                <a:pt x="0" y="9217"/>
              </a:moveTo>
              <a:lnTo>
                <a:pt x="459238"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88627" y="2392916"/>
        <a:ext cx="22961" cy="22961"/>
      </dsp:txXfrm>
    </dsp:sp>
    <dsp:sp modelId="{422A4A3A-F6EB-449A-8901-797127807065}">
      <dsp:nvSpPr>
        <dsp:cNvPr id="0" name=""/>
        <dsp:cNvSpPr/>
      </dsp:nvSpPr>
      <dsp:spPr>
        <a:xfrm>
          <a:off x="151619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532020" y="2072451"/>
        <a:ext cx="1048799" cy="508576"/>
      </dsp:txXfrm>
    </dsp:sp>
    <dsp:sp modelId="{BE7BB172-278F-4B9D-AD2A-54BA10798C46}">
      <dsp:nvSpPr>
        <dsp:cNvPr id="0" name=""/>
        <dsp:cNvSpPr/>
      </dsp:nvSpPr>
      <dsp:spPr>
        <a:xfrm rot="18289469">
          <a:off x="2434335" y="2006894"/>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1997192"/>
        <a:ext cx="37839" cy="37839"/>
      </dsp:txXfrm>
    </dsp:sp>
    <dsp:sp modelId="{0D28B1C1-D54B-4DB5-9F81-53E245C42E6F}">
      <dsp:nvSpPr>
        <dsp:cNvPr id="0" name=""/>
        <dsp:cNvSpPr/>
      </dsp:nvSpPr>
      <dsp:spPr>
        <a:xfrm>
          <a:off x="3028821"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3044644" y="1451195"/>
        <a:ext cx="1048799" cy="508576"/>
      </dsp:txXfrm>
    </dsp:sp>
    <dsp:sp modelId="{C880F6F0-42D8-4F70-8552-49AAF1D51B85}">
      <dsp:nvSpPr>
        <dsp:cNvPr id="0" name=""/>
        <dsp:cNvSpPr/>
      </dsp:nvSpPr>
      <dsp:spPr>
        <a:xfrm>
          <a:off x="4109266"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694679"/>
        <a:ext cx="21608" cy="21608"/>
      </dsp:txXfrm>
    </dsp:sp>
    <dsp:sp modelId="{FDF57252-0485-4E94-9518-819B97E653A5}">
      <dsp:nvSpPr>
        <dsp:cNvPr id="0" name=""/>
        <dsp:cNvSpPr/>
      </dsp:nvSpPr>
      <dsp:spPr>
        <a:xfrm>
          <a:off x="454144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557267" y="1451195"/>
        <a:ext cx="1048799" cy="508576"/>
      </dsp:txXfrm>
    </dsp:sp>
    <dsp:sp modelId="{C798FBDF-6E1D-47DE-AFF4-FF2F3558A01E}">
      <dsp:nvSpPr>
        <dsp:cNvPr id="0" name=""/>
        <dsp:cNvSpPr/>
      </dsp:nvSpPr>
      <dsp:spPr>
        <a:xfrm>
          <a:off x="562188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694679"/>
        <a:ext cx="21608" cy="21608"/>
      </dsp:txXfrm>
    </dsp:sp>
    <dsp:sp modelId="{299DB7B5-147A-4B56-BD71-258F2E319699}">
      <dsp:nvSpPr>
        <dsp:cNvPr id="0" name=""/>
        <dsp:cNvSpPr/>
      </dsp:nvSpPr>
      <dsp:spPr>
        <a:xfrm>
          <a:off x="605406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1451195"/>
        <a:ext cx="1048799" cy="508576"/>
      </dsp:txXfrm>
    </dsp:sp>
    <dsp:sp modelId="{2885D908-1890-4DF2-AA56-5F58E916BA5F}">
      <dsp:nvSpPr>
        <dsp:cNvPr id="0" name=""/>
        <dsp:cNvSpPr/>
      </dsp:nvSpPr>
      <dsp:spPr>
        <a:xfrm>
          <a:off x="7134512"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694679"/>
        <a:ext cx="21608" cy="21608"/>
      </dsp:txXfrm>
    </dsp:sp>
    <dsp:sp modelId="{75C27B92-6CC4-4B40-95A9-71E9F09AC553}">
      <dsp:nvSpPr>
        <dsp:cNvPr id="0" name=""/>
        <dsp:cNvSpPr/>
      </dsp:nvSpPr>
      <dsp:spPr>
        <a:xfrm>
          <a:off x="7566690"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1451195"/>
        <a:ext cx="1048799" cy="508576"/>
      </dsp:txXfrm>
    </dsp:sp>
    <dsp:sp modelId="{8FCFA1DF-8D7B-4AE3-A13D-E9E0A8D4269E}">
      <dsp:nvSpPr>
        <dsp:cNvPr id="0" name=""/>
        <dsp:cNvSpPr/>
      </dsp:nvSpPr>
      <dsp:spPr>
        <a:xfrm>
          <a:off x="8647135"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694679"/>
        <a:ext cx="21608" cy="21608"/>
      </dsp:txXfrm>
    </dsp:sp>
    <dsp:sp modelId="{B52201AD-DF5C-4637-95C6-49BD23B1F50B}">
      <dsp:nvSpPr>
        <dsp:cNvPr id="0" name=""/>
        <dsp:cNvSpPr/>
      </dsp:nvSpPr>
      <dsp:spPr>
        <a:xfrm>
          <a:off x="907931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1451195"/>
        <a:ext cx="1048799" cy="508576"/>
      </dsp:txXfrm>
    </dsp:sp>
    <dsp:sp modelId="{CB3877FC-91B8-4FC2-9D6B-E11F9D0115BE}">
      <dsp:nvSpPr>
        <dsp:cNvPr id="0" name=""/>
        <dsp:cNvSpPr/>
      </dsp:nvSpPr>
      <dsp:spPr>
        <a:xfrm>
          <a:off x="1015975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694679"/>
        <a:ext cx="21608" cy="21608"/>
      </dsp:txXfrm>
    </dsp:sp>
    <dsp:sp modelId="{A844538E-617C-47D5-90B1-EC4C304BD896}">
      <dsp:nvSpPr>
        <dsp:cNvPr id="0" name=""/>
        <dsp:cNvSpPr/>
      </dsp:nvSpPr>
      <dsp:spPr>
        <a:xfrm>
          <a:off x="1059193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607760" y="1451195"/>
        <a:ext cx="1048799" cy="508576"/>
      </dsp:txXfrm>
    </dsp:sp>
    <dsp:sp modelId="{1DBCEC87-5760-4266-8E86-CC6FC7973A3C}">
      <dsp:nvSpPr>
        <dsp:cNvPr id="0" name=""/>
        <dsp:cNvSpPr/>
      </dsp:nvSpPr>
      <dsp:spPr>
        <a:xfrm>
          <a:off x="259664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2315935"/>
        <a:ext cx="21608" cy="21608"/>
      </dsp:txXfrm>
    </dsp:sp>
    <dsp:sp modelId="{B0BF95EF-E3AD-447A-B62C-646AC58C325F}">
      <dsp:nvSpPr>
        <dsp:cNvPr id="0" name=""/>
        <dsp:cNvSpPr/>
      </dsp:nvSpPr>
      <dsp:spPr>
        <a:xfrm>
          <a:off x="3028821"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3044644" y="2072451"/>
        <a:ext cx="1048799" cy="508576"/>
      </dsp:txXfrm>
    </dsp:sp>
    <dsp:sp modelId="{92354185-DBCA-4A21-84F8-224DFD5AB4AF}">
      <dsp:nvSpPr>
        <dsp:cNvPr id="0" name=""/>
        <dsp:cNvSpPr/>
      </dsp:nvSpPr>
      <dsp:spPr>
        <a:xfrm>
          <a:off x="4109266"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315935"/>
        <a:ext cx="21608" cy="21608"/>
      </dsp:txXfrm>
    </dsp:sp>
    <dsp:sp modelId="{7E949926-E243-4CA5-864B-20D791018212}">
      <dsp:nvSpPr>
        <dsp:cNvPr id="0" name=""/>
        <dsp:cNvSpPr/>
      </dsp:nvSpPr>
      <dsp:spPr>
        <a:xfrm>
          <a:off x="454144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072451"/>
        <a:ext cx="1048799" cy="508576"/>
      </dsp:txXfrm>
    </dsp:sp>
    <dsp:sp modelId="{5B8BE731-C7C1-49D4-BB62-68D307B5CEEF}">
      <dsp:nvSpPr>
        <dsp:cNvPr id="0" name=""/>
        <dsp:cNvSpPr/>
      </dsp:nvSpPr>
      <dsp:spPr>
        <a:xfrm>
          <a:off x="562188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315935"/>
        <a:ext cx="21608" cy="21608"/>
      </dsp:txXfrm>
    </dsp:sp>
    <dsp:sp modelId="{44DCE07A-E41F-4B9A-9AFD-AF1F7CCED65A}">
      <dsp:nvSpPr>
        <dsp:cNvPr id="0" name=""/>
        <dsp:cNvSpPr/>
      </dsp:nvSpPr>
      <dsp:spPr>
        <a:xfrm>
          <a:off x="605406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072451"/>
        <a:ext cx="1048799" cy="508576"/>
      </dsp:txXfrm>
    </dsp:sp>
    <dsp:sp modelId="{D935D560-7774-4779-8BD2-13BFC1D3BACF}">
      <dsp:nvSpPr>
        <dsp:cNvPr id="0" name=""/>
        <dsp:cNvSpPr/>
      </dsp:nvSpPr>
      <dsp:spPr>
        <a:xfrm>
          <a:off x="713451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315935"/>
        <a:ext cx="21608" cy="21608"/>
      </dsp:txXfrm>
    </dsp:sp>
    <dsp:sp modelId="{98A33CD7-77E9-4331-856C-70FB910FFA5F}">
      <dsp:nvSpPr>
        <dsp:cNvPr id="0" name=""/>
        <dsp:cNvSpPr/>
      </dsp:nvSpPr>
      <dsp:spPr>
        <a:xfrm>
          <a:off x="7566690"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072451"/>
        <a:ext cx="1048799" cy="508576"/>
      </dsp:txXfrm>
    </dsp:sp>
    <dsp:sp modelId="{2F1E8219-B659-41F3-AE9B-2584FF7876EF}">
      <dsp:nvSpPr>
        <dsp:cNvPr id="0" name=""/>
        <dsp:cNvSpPr/>
      </dsp:nvSpPr>
      <dsp:spPr>
        <a:xfrm>
          <a:off x="8647135"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315935"/>
        <a:ext cx="21608" cy="21608"/>
      </dsp:txXfrm>
    </dsp:sp>
    <dsp:sp modelId="{0C4019F4-33C5-40BC-8599-8F1DAB8B9326}">
      <dsp:nvSpPr>
        <dsp:cNvPr id="0" name=""/>
        <dsp:cNvSpPr/>
      </dsp:nvSpPr>
      <dsp:spPr>
        <a:xfrm>
          <a:off x="907931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072451"/>
        <a:ext cx="1048799" cy="508576"/>
      </dsp:txXfrm>
    </dsp:sp>
    <dsp:sp modelId="{70818E4E-65CA-4391-A769-C16EF8DF3D1E}">
      <dsp:nvSpPr>
        <dsp:cNvPr id="0" name=""/>
        <dsp:cNvSpPr/>
      </dsp:nvSpPr>
      <dsp:spPr>
        <a:xfrm>
          <a:off x="1015975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315935"/>
        <a:ext cx="21608" cy="21608"/>
      </dsp:txXfrm>
    </dsp:sp>
    <dsp:sp modelId="{3CC85C9C-3AD6-42D8-8BB3-F6239BEC3592}">
      <dsp:nvSpPr>
        <dsp:cNvPr id="0" name=""/>
        <dsp:cNvSpPr/>
      </dsp:nvSpPr>
      <dsp:spPr>
        <a:xfrm>
          <a:off x="1059193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607760" y="2072451"/>
        <a:ext cx="1048799" cy="508576"/>
      </dsp:txXfrm>
    </dsp:sp>
    <dsp:sp modelId="{4D5AB6F6-FFAC-458C-B555-327068430A50}">
      <dsp:nvSpPr>
        <dsp:cNvPr id="0" name=""/>
        <dsp:cNvSpPr/>
      </dsp:nvSpPr>
      <dsp:spPr>
        <a:xfrm rot="3310531">
          <a:off x="2434335" y="2628150"/>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2618448"/>
        <a:ext cx="37839" cy="37839"/>
      </dsp:txXfrm>
    </dsp:sp>
    <dsp:sp modelId="{761806C1-4E14-4F20-8E3F-BE484331CAC1}">
      <dsp:nvSpPr>
        <dsp:cNvPr id="0" name=""/>
        <dsp:cNvSpPr/>
      </dsp:nvSpPr>
      <dsp:spPr>
        <a:xfrm>
          <a:off x="3028821"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3044644" y="2693707"/>
        <a:ext cx="1048799" cy="508576"/>
      </dsp:txXfrm>
    </dsp:sp>
    <dsp:sp modelId="{C80259AB-F3D9-4E2B-A527-B7387593D480}">
      <dsp:nvSpPr>
        <dsp:cNvPr id="0" name=""/>
        <dsp:cNvSpPr/>
      </dsp:nvSpPr>
      <dsp:spPr>
        <a:xfrm>
          <a:off x="4109266"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937191"/>
        <a:ext cx="21608" cy="21608"/>
      </dsp:txXfrm>
    </dsp:sp>
    <dsp:sp modelId="{FA7E10B4-455E-40D8-9094-7701C2446506}">
      <dsp:nvSpPr>
        <dsp:cNvPr id="0" name=""/>
        <dsp:cNvSpPr/>
      </dsp:nvSpPr>
      <dsp:spPr>
        <a:xfrm>
          <a:off x="454144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693707"/>
        <a:ext cx="1048799" cy="508576"/>
      </dsp:txXfrm>
    </dsp:sp>
    <dsp:sp modelId="{AD510A24-47D6-4085-A1F6-3DD4D3724B2A}">
      <dsp:nvSpPr>
        <dsp:cNvPr id="0" name=""/>
        <dsp:cNvSpPr/>
      </dsp:nvSpPr>
      <dsp:spPr>
        <a:xfrm>
          <a:off x="562188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937191"/>
        <a:ext cx="21608" cy="21608"/>
      </dsp:txXfrm>
    </dsp:sp>
    <dsp:sp modelId="{F87CEE2C-13F7-47DD-A4A5-8DD2DBA4CAB0}">
      <dsp:nvSpPr>
        <dsp:cNvPr id="0" name=""/>
        <dsp:cNvSpPr/>
      </dsp:nvSpPr>
      <dsp:spPr>
        <a:xfrm>
          <a:off x="605406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693707"/>
        <a:ext cx="1048799" cy="508576"/>
      </dsp:txXfrm>
    </dsp:sp>
    <dsp:sp modelId="{33D7B50A-568A-404F-AF6B-F637E120BDDA}">
      <dsp:nvSpPr>
        <dsp:cNvPr id="0" name=""/>
        <dsp:cNvSpPr/>
      </dsp:nvSpPr>
      <dsp:spPr>
        <a:xfrm>
          <a:off x="7134512"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937191"/>
        <a:ext cx="21608" cy="21608"/>
      </dsp:txXfrm>
    </dsp:sp>
    <dsp:sp modelId="{3C1BBCC7-E79E-4814-8297-5BB246104496}">
      <dsp:nvSpPr>
        <dsp:cNvPr id="0" name=""/>
        <dsp:cNvSpPr/>
      </dsp:nvSpPr>
      <dsp:spPr>
        <a:xfrm>
          <a:off x="7566690"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693707"/>
        <a:ext cx="1048799" cy="508576"/>
      </dsp:txXfrm>
    </dsp:sp>
    <dsp:sp modelId="{121D9905-B3A4-436E-A1D5-F457DC0FB490}">
      <dsp:nvSpPr>
        <dsp:cNvPr id="0" name=""/>
        <dsp:cNvSpPr/>
      </dsp:nvSpPr>
      <dsp:spPr>
        <a:xfrm>
          <a:off x="8647135"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937191"/>
        <a:ext cx="21608" cy="21608"/>
      </dsp:txXfrm>
    </dsp:sp>
    <dsp:sp modelId="{004785DF-F189-4494-91D0-C897BF691894}">
      <dsp:nvSpPr>
        <dsp:cNvPr id="0" name=""/>
        <dsp:cNvSpPr/>
      </dsp:nvSpPr>
      <dsp:spPr>
        <a:xfrm>
          <a:off x="907931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693707"/>
        <a:ext cx="1048799" cy="508576"/>
      </dsp:txXfrm>
    </dsp:sp>
    <dsp:sp modelId="{9E92B4C6-4361-4131-86BB-BDACFCA82FA4}">
      <dsp:nvSpPr>
        <dsp:cNvPr id="0" name=""/>
        <dsp:cNvSpPr/>
      </dsp:nvSpPr>
      <dsp:spPr>
        <a:xfrm>
          <a:off x="1015975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937191"/>
        <a:ext cx="21608" cy="21608"/>
      </dsp:txXfrm>
    </dsp:sp>
    <dsp:sp modelId="{EA1EA348-E697-47A0-BB9C-C79C60FA0661}">
      <dsp:nvSpPr>
        <dsp:cNvPr id="0" name=""/>
        <dsp:cNvSpPr/>
      </dsp:nvSpPr>
      <dsp:spPr>
        <a:xfrm>
          <a:off x="1059193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607760" y="2693707"/>
        <a:ext cx="1048799" cy="508576"/>
      </dsp:txXfrm>
    </dsp:sp>
    <dsp:sp modelId="{0A574E65-26AD-4153-ACFA-B6508D80ED8C}">
      <dsp:nvSpPr>
        <dsp:cNvPr id="0" name=""/>
        <dsp:cNvSpPr/>
      </dsp:nvSpPr>
      <dsp:spPr>
        <a:xfrm rot="4369170">
          <a:off x="568552" y="3171749"/>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3144389"/>
        <a:ext cx="73155" cy="73155"/>
      </dsp:txXfrm>
    </dsp:sp>
    <dsp:sp modelId="{3FF46F38-73CF-4DBB-B22D-5757F5DF1549}">
      <dsp:nvSpPr>
        <dsp:cNvPr id="0" name=""/>
        <dsp:cNvSpPr/>
      </dsp:nvSpPr>
      <dsp:spPr>
        <a:xfrm>
          <a:off x="1516197" y="360976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532020" y="3625591"/>
        <a:ext cx="1048799" cy="508576"/>
      </dsp:txXfrm>
    </dsp:sp>
    <dsp:sp modelId="{D9323FB4-687C-4C65-9470-F1A71F51C4C7}">
      <dsp:nvSpPr>
        <dsp:cNvPr id="0" name=""/>
        <dsp:cNvSpPr/>
      </dsp:nvSpPr>
      <dsp:spPr>
        <a:xfrm rot="19457599">
          <a:off x="2546617" y="3715348"/>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3711260"/>
        <a:ext cx="26611" cy="26611"/>
      </dsp:txXfrm>
    </dsp:sp>
    <dsp:sp modelId="{FDF73456-B5D7-406E-9142-FB46C4CA82EA}">
      <dsp:nvSpPr>
        <dsp:cNvPr id="0" name=""/>
        <dsp:cNvSpPr/>
      </dsp:nvSpPr>
      <dsp:spPr>
        <a:xfrm>
          <a:off x="3028821"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3044644" y="3314963"/>
        <a:ext cx="1048799" cy="508576"/>
      </dsp:txXfrm>
    </dsp:sp>
    <dsp:sp modelId="{9BE4A52F-5A0D-4495-93ED-124F3853D05E}">
      <dsp:nvSpPr>
        <dsp:cNvPr id="0" name=""/>
        <dsp:cNvSpPr/>
      </dsp:nvSpPr>
      <dsp:spPr>
        <a:xfrm>
          <a:off x="4109266"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3558447"/>
        <a:ext cx="21608" cy="21608"/>
      </dsp:txXfrm>
    </dsp:sp>
    <dsp:sp modelId="{F74A89F7-B5B1-411A-A507-7DA4255A624A}">
      <dsp:nvSpPr>
        <dsp:cNvPr id="0" name=""/>
        <dsp:cNvSpPr/>
      </dsp:nvSpPr>
      <dsp:spPr>
        <a:xfrm>
          <a:off x="454144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314963"/>
        <a:ext cx="1048799" cy="508576"/>
      </dsp:txXfrm>
    </dsp:sp>
    <dsp:sp modelId="{0E4430D5-CDA1-46C4-A8D2-B977202A1EBF}">
      <dsp:nvSpPr>
        <dsp:cNvPr id="0" name=""/>
        <dsp:cNvSpPr/>
      </dsp:nvSpPr>
      <dsp:spPr>
        <a:xfrm>
          <a:off x="562188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3558447"/>
        <a:ext cx="21608" cy="21608"/>
      </dsp:txXfrm>
    </dsp:sp>
    <dsp:sp modelId="{FA05FBB8-38CC-4AC9-86BE-70D50F88621A}">
      <dsp:nvSpPr>
        <dsp:cNvPr id="0" name=""/>
        <dsp:cNvSpPr/>
      </dsp:nvSpPr>
      <dsp:spPr>
        <a:xfrm>
          <a:off x="605406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314963"/>
        <a:ext cx="1048799" cy="508576"/>
      </dsp:txXfrm>
    </dsp:sp>
    <dsp:sp modelId="{04024163-7E66-46A1-8209-73FF25CF8548}">
      <dsp:nvSpPr>
        <dsp:cNvPr id="0" name=""/>
        <dsp:cNvSpPr/>
      </dsp:nvSpPr>
      <dsp:spPr>
        <a:xfrm>
          <a:off x="7134512"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3558447"/>
        <a:ext cx="21608" cy="21608"/>
      </dsp:txXfrm>
    </dsp:sp>
    <dsp:sp modelId="{5A304F7F-1E24-49F4-B5DD-CB3329AB044D}">
      <dsp:nvSpPr>
        <dsp:cNvPr id="0" name=""/>
        <dsp:cNvSpPr/>
      </dsp:nvSpPr>
      <dsp:spPr>
        <a:xfrm>
          <a:off x="7566690"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314963"/>
        <a:ext cx="1048799" cy="508576"/>
      </dsp:txXfrm>
    </dsp:sp>
    <dsp:sp modelId="{C9B95468-A4CE-4BAB-9D89-2C6B1A0ADB22}">
      <dsp:nvSpPr>
        <dsp:cNvPr id="0" name=""/>
        <dsp:cNvSpPr/>
      </dsp:nvSpPr>
      <dsp:spPr>
        <a:xfrm>
          <a:off x="8647135"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3558447"/>
        <a:ext cx="21608" cy="21608"/>
      </dsp:txXfrm>
    </dsp:sp>
    <dsp:sp modelId="{28A887CD-3969-4793-8C57-5CE7B7B07B85}">
      <dsp:nvSpPr>
        <dsp:cNvPr id="0" name=""/>
        <dsp:cNvSpPr/>
      </dsp:nvSpPr>
      <dsp:spPr>
        <a:xfrm>
          <a:off x="907931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314963"/>
        <a:ext cx="1048799" cy="508576"/>
      </dsp:txXfrm>
    </dsp:sp>
    <dsp:sp modelId="{F65DBCA4-D8B6-4E92-B932-80D05BA1A5BC}">
      <dsp:nvSpPr>
        <dsp:cNvPr id="0" name=""/>
        <dsp:cNvSpPr/>
      </dsp:nvSpPr>
      <dsp:spPr>
        <a:xfrm>
          <a:off x="1015975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3558447"/>
        <a:ext cx="21608" cy="21608"/>
      </dsp:txXfrm>
    </dsp:sp>
    <dsp:sp modelId="{D2A38B7B-D505-438D-8CAE-EC1E09A45375}">
      <dsp:nvSpPr>
        <dsp:cNvPr id="0" name=""/>
        <dsp:cNvSpPr/>
      </dsp:nvSpPr>
      <dsp:spPr>
        <a:xfrm>
          <a:off x="1059193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607760" y="3314963"/>
        <a:ext cx="1048799" cy="508576"/>
      </dsp:txXfrm>
    </dsp:sp>
    <dsp:sp modelId="{82A1A3C9-AF28-4B8F-8304-7BEA9022741B}">
      <dsp:nvSpPr>
        <dsp:cNvPr id="0" name=""/>
        <dsp:cNvSpPr/>
      </dsp:nvSpPr>
      <dsp:spPr>
        <a:xfrm rot="2142401">
          <a:off x="2546617" y="4025976"/>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4021888"/>
        <a:ext cx="26611" cy="26611"/>
      </dsp:txXfrm>
    </dsp:sp>
    <dsp:sp modelId="{3A179D8B-21C3-4C7C-8385-1F895D8D67B5}">
      <dsp:nvSpPr>
        <dsp:cNvPr id="0" name=""/>
        <dsp:cNvSpPr/>
      </dsp:nvSpPr>
      <dsp:spPr>
        <a:xfrm>
          <a:off x="3028821"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3044644" y="3936219"/>
        <a:ext cx="1048799" cy="508576"/>
      </dsp:txXfrm>
    </dsp:sp>
    <dsp:sp modelId="{1FF5ED4C-2094-42E5-AB19-186AD771CB63}">
      <dsp:nvSpPr>
        <dsp:cNvPr id="0" name=""/>
        <dsp:cNvSpPr/>
      </dsp:nvSpPr>
      <dsp:spPr>
        <a:xfrm>
          <a:off x="4109266"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4179703"/>
        <a:ext cx="21608" cy="21608"/>
      </dsp:txXfrm>
    </dsp:sp>
    <dsp:sp modelId="{DF492ED8-7257-4DCA-A973-CCDD11D8C1D2}">
      <dsp:nvSpPr>
        <dsp:cNvPr id="0" name=""/>
        <dsp:cNvSpPr/>
      </dsp:nvSpPr>
      <dsp:spPr>
        <a:xfrm>
          <a:off x="454144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936219"/>
        <a:ext cx="1048799" cy="508576"/>
      </dsp:txXfrm>
    </dsp:sp>
    <dsp:sp modelId="{753FD0E6-6DE9-4F27-ABB7-FC4E115661BD}">
      <dsp:nvSpPr>
        <dsp:cNvPr id="0" name=""/>
        <dsp:cNvSpPr/>
      </dsp:nvSpPr>
      <dsp:spPr>
        <a:xfrm>
          <a:off x="562188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4179703"/>
        <a:ext cx="21608" cy="21608"/>
      </dsp:txXfrm>
    </dsp:sp>
    <dsp:sp modelId="{D5F883CA-AFB8-47B8-BEE1-D528ADCE38BD}">
      <dsp:nvSpPr>
        <dsp:cNvPr id="0" name=""/>
        <dsp:cNvSpPr/>
      </dsp:nvSpPr>
      <dsp:spPr>
        <a:xfrm>
          <a:off x="605406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936219"/>
        <a:ext cx="1048799" cy="508576"/>
      </dsp:txXfrm>
    </dsp:sp>
    <dsp:sp modelId="{A039F8AA-38D7-4297-9FF1-3040161D29DA}">
      <dsp:nvSpPr>
        <dsp:cNvPr id="0" name=""/>
        <dsp:cNvSpPr/>
      </dsp:nvSpPr>
      <dsp:spPr>
        <a:xfrm>
          <a:off x="7134512"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4179703"/>
        <a:ext cx="21608" cy="21608"/>
      </dsp:txXfrm>
    </dsp:sp>
    <dsp:sp modelId="{9197BC2C-54DC-41F7-876A-9145A30175AB}">
      <dsp:nvSpPr>
        <dsp:cNvPr id="0" name=""/>
        <dsp:cNvSpPr/>
      </dsp:nvSpPr>
      <dsp:spPr>
        <a:xfrm>
          <a:off x="7566690"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936219"/>
        <a:ext cx="1048799" cy="508576"/>
      </dsp:txXfrm>
    </dsp:sp>
    <dsp:sp modelId="{B066832F-E973-445E-B1DE-6626F1620126}">
      <dsp:nvSpPr>
        <dsp:cNvPr id="0" name=""/>
        <dsp:cNvSpPr/>
      </dsp:nvSpPr>
      <dsp:spPr>
        <a:xfrm>
          <a:off x="8647135"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4179703"/>
        <a:ext cx="21608" cy="21608"/>
      </dsp:txXfrm>
    </dsp:sp>
    <dsp:sp modelId="{32AC4FD9-DB94-482A-9649-7A08C835D9FB}">
      <dsp:nvSpPr>
        <dsp:cNvPr id="0" name=""/>
        <dsp:cNvSpPr/>
      </dsp:nvSpPr>
      <dsp:spPr>
        <a:xfrm>
          <a:off x="907931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936219"/>
        <a:ext cx="1048799" cy="508576"/>
      </dsp:txXfrm>
    </dsp:sp>
    <dsp:sp modelId="{153F4508-2F14-4F62-9CDD-49E11997BC9D}">
      <dsp:nvSpPr>
        <dsp:cNvPr id="0" name=""/>
        <dsp:cNvSpPr/>
      </dsp:nvSpPr>
      <dsp:spPr>
        <a:xfrm>
          <a:off x="1015975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4179703"/>
        <a:ext cx="21608" cy="21608"/>
      </dsp:txXfrm>
    </dsp:sp>
    <dsp:sp modelId="{49E74F65-E45A-4CE2-9932-E3B6F36804D5}">
      <dsp:nvSpPr>
        <dsp:cNvPr id="0" name=""/>
        <dsp:cNvSpPr/>
      </dsp:nvSpPr>
      <dsp:spPr>
        <a:xfrm>
          <a:off x="1059193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607760" y="3936219"/>
        <a:ext cx="1048799" cy="508576"/>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285394</xdr:colOff>
      <xdr:row>17</xdr:row>
      <xdr:rowOff>129539</xdr:rowOff>
    </xdr:from>
    <xdr:to>
      <xdr:col>19</xdr:col>
      <xdr:colOff>97155</xdr:colOff>
      <xdr:row>24</xdr:row>
      <xdr:rowOff>119061</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18894" y="5058727"/>
          <a:ext cx="11146511" cy="1489709"/>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664941</xdr:colOff>
      <xdr:row>5</xdr:row>
      <xdr:rowOff>20346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35</xdr:row>
      <xdr:rowOff>134310</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208471</xdr:colOff>
      <xdr:row>66</xdr:row>
      <xdr:rowOff>15512</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65</xdr:row>
      <xdr:rowOff>0</xdr:rowOff>
    </xdr:from>
    <xdr:to>
      <xdr:col>1</xdr:col>
      <xdr:colOff>208471</xdr:colOff>
      <xdr:row>84</xdr:row>
      <xdr:rowOff>54473</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2468225"/>
          <a:ext cx="907606" cy="4781550"/>
        </a:xfrm>
        <a:prstGeom prst="rect">
          <a:avLst/>
        </a:prstGeom>
      </xdr:spPr>
    </xdr:pic>
    <xdr:clientData/>
  </xdr:twoCellAnchor>
  <xdr:twoCellAnchor editAs="oneCell">
    <xdr:from>
      <xdr:col>0</xdr:col>
      <xdr:colOff>0</xdr:colOff>
      <xdr:row>74</xdr:row>
      <xdr:rowOff>87630</xdr:rowOff>
    </xdr:from>
    <xdr:to>
      <xdr:col>1</xdr:col>
      <xdr:colOff>212281</xdr:colOff>
      <xdr:row>74</xdr:row>
      <xdr:rowOff>137159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65</xdr:row>
      <xdr:rowOff>0</xdr:rowOff>
    </xdr:from>
    <xdr:to>
      <xdr:col>1</xdr:col>
      <xdr:colOff>208471</xdr:colOff>
      <xdr:row>76</xdr:row>
      <xdr:rowOff>21336</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44</xdr:row>
      <xdr:rowOff>103909</xdr:rowOff>
    </xdr:from>
    <xdr:to>
      <xdr:col>29</xdr:col>
      <xdr:colOff>606137</xdr:colOff>
      <xdr:row>56</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44</xdr:row>
      <xdr:rowOff>86592</xdr:rowOff>
    </xdr:from>
    <xdr:to>
      <xdr:col>36</xdr:col>
      <xdr:colOff>17318</xdr:colOff>
      <xdr:row>56</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57</xdr:row>
      <xdr:rowOff>225135</xdr:rowOff>
    </xdr:from>
    <xdr:to>
      <xdr:col>29</xdr:col>
      <xdr:colOff>588818</xdr:colOff>
      <xdr:row>67</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67</xdr:row>
      <xdr:rowOff>773329</xdr:rowOff>
    </xdr:from>
    <xdr:to>
      <xdr:col>36</xdr:col>
      <xdr:colOff>246166</xdr:colOff>
      <xdr:row>80</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67</xdr:row>
      <xdr:rowOff>783126</xdr:rowOff>
    </xdr:from>
    <xdr:to>
      <xdr:col>30</xdr:col>
      <xdr:colOff>48342</xdr:colOff>
      <xdr:row>80</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27</xdr:row>
      <xdr:rowOff>110666</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208471</xdr:colOff>
      <xdr:row>31</xdr:row>
      <xdr:rowOff>505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6174739"/>
          <a:ext cx="905701" cy="6428792"/>
        </a:xfrm>
        <a:prstGeom prst="rect">
          <a:avLst/>
        </a:prstGeom>
      </xdr:spPr>
    </xdr:pic>
    <xdr:clientData/>
  </xdr:twoCellAnchor>
  <xdr:twoCellAnchor editAs="oneCell">
    <xdr:from>
      <xdr:col>0</xdr:col>
      <xdr:colOff>0</xdr:colOff>
      <xdr:row>13</xdr:row>
      <xdr:rowOff>0</xdr:rowOff>
    </xdr:from>
    <xdr:to>
      <xdr:col>1</xdr:col>
      <xdr:colOff>208471</xdr:colOff>
      <xdr:row>30</xdr:row>
      <xdr:rowOff>2187387</xdr:rowOff>
    </xdr:to>
    <xdr:pic>
      <xdr:nvPicPr>
        <xdr:cNvPr id="7" name="Picture 6">
          <a:extLst>
            <a:ext uri="{FF2B5EF4-FFF2-40B4-BE49-F238E27FC236}">
              <a16:creationId xmlns:a16="http://schemas.microsoft.com/office/drawing/2014/main" id="{F1672B63-83B2-40E9-88B3-AD56D0BD8867}"/>
            </a:ext>
          </a:extLst>
        </xdr:cNvPr>
        <xdr:cNvPicPr>
          <a:picLocks noChangeAspect="1"/>
        </xdr:cNvPicPr>
      </xdr:nvPicPr>
      <xdr:blipFill rotWithShape="1">
        <a:blip xmlns:r="http://schemas.openxmlformats.org/officeDocument/2006/relationships" r:embed="rId2"/>
        <a:srcRect r="89965"/>
        <a:stretch>
          <a:fillRect/>
        </a:stretch>
      </xdr:blipFill>
      <xdr:spPr>
        <a:xfrm>
          <a:off x="0" y="12527280"/>
          <a:ext cx="905701" cy="6393628"/>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30</xdr:row>
      <xdr:rowOff>0</xdr:rowOff>
    </xdr:from>
    <xdr:to>
      <xdr:col>1</xdr:col>
      <xdr:colOff>212281</xdr:colOff>
      <xdr:row>43</xdr:row>
      <xdr:rowOff>190500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a:off x="0" y="6871607"/>
          <a:ext cx="902435" cy="4640036"/>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zoomScale="115" zoomScaleNormal="115" workbookViewId="0">
      <selection activeCell="U9" sqref="U9"/>
    </sheetView>
  </sheetViews>
  <sheetFormatPr defaultColWidth="9.6640625" defaultRowHeight="16.8"/>
  <cols>
    <col min="1" max="16384" width="9.664062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6640625" defaultRowHeight="16.8"/>
  <cols>
    <col min="1" max="16384" width="9.6640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6640625" defaultRowHeight="16.8"/>
  <cols>
    <col min="1" max="16384" width="9.6640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6640625" defaultRowHeight="16.8"/>
  <cols>
    <col min="1" max="16384" width="9.6640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6640625" defaultRowHeight="16.8"/>
  <cols>
    <col min="1" max="16384" width="9.664062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R251"/>
  <sheetViews>
    <sheetView zoomScale="70" zoomScaleNormal="70" workbookViewId="0">
      <selection activeCell="R23" sqref="R23"/>
    </sheetView>
  </sheetViews>
  <sheetFormatPr defaultRowHeight="14.4"/>
  <cols>
    <col min="1" max="1" width="52.33203125" bestFit="1" customWidth="1"/>
    <col min="2" max="2" width="24.6640625" customWidth="1"/>
    <col min="3" max="3" width="18" bestFit="1" customWidth="1"/>
    <col min="4" max="4" width="8.6640625" customWidth="1"/>
    <col min="5" max="15" width="11.33203125" bestFit="1" customWidth="1"/>
    <col min="16" max="16" width="26" bestFit="1" customWidth="1"/>
    <col min="18" max="18" width="30.21875" customWidth="1"/>
  </cols>
  <sheetData>
    <row r="2" spans="1:16">
      <c r="A2" t="s">
        <v>84</v>
      </c>
      <c r="B2" s="2">
        <f>('Scenario Inputs'!R23-'Scenario Inputs'!R21)*365 + 365</f>
        <v>4745</v>
      </c>
      <c r="C2" t="s">
        <v>85</v>
      </c>
      <c r="P2" s="98" t="s">
        <v>148</v>
      </c>
    </row>
    <row r="3" spans="1:16">
      <c r="P3" s="86" t="s">
        <v>153</v>
      </c>
    </row>
    <row r="4" spans="1:16" ht="15">
      <c r="A4" s="25"/>
      <c r="B4">
        <v>1</v>
      </c>
      <c r="C4">
        <v>2</v>
      </c>
      <c r="D4">
        <v>3</v>
      </c>
      <c r="E4">
        <v>4</v>
      </c>
      <c r="F4">
        <v>5</v>
      </c>
      <c r="G4">
        <v>6</v>
      </c>
      <c r="H4">
        <v>7</v>
      </c>
      <c r="I4">
        <v>8</v>
      </c>
      <c r="J4">
        <v>9</v>
      </c>
      <c r="K4">
        <v>10</v>
      </c>
      <c r="L4">
        <v>11</v>
      </c>
      <c r="M4">
        <v>12</v>
      </c>
      <c r="N4">
        <v>13</v>
      </c>
    </row>
    <row r="5" spans="1:16" ht="15">
      <c r="A5" s="25"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149</v>
      </c>
    </row>
    <row r="6" spans="1:16">
      <c r="B6" s="2">
        <f>daily_rate!N2</f>
        <v>0.5</v>
      </c>
      <c r="C6" s="2">
        <f>daily_rate!O2</f>
        <v>0.5</v>
      </c>
      <c r="D6" s="2">
        <f>daily_rate!P2</f>
        <v>0.5</v>
      </c>
      <c r="E6" s="2">
        <f>daily_rate!Q2</f>
        <v>0.5</v>
      </c>
      <c r="F6" s="2">
        <f>daily_rate!R2</f>
        <v>0.5</v>
      </c>
      <c r="G6" s="2">
        <f>daily_rate!S2</f>
        <v>0.5</v>
      </c>
      <c r="H6" s="2">
        <f>daily_rate!T2</f>
        <v>0.5</v>
      </c>
      <c r="I6" s="2">
        <f>daily_rate!U2</f>
        <v>0.5</v>
      </c>
      <c r="J6" s="2">
        <f>daily_rate!V2</f>
        <v>0.5</v>
      </c>
      <c r="K6" s="2">
        <f>daily_rate!W2</f>
        <v>0.5</v>
      </c>
      <c r="L6" s="2">
        <f>daily_rate!X2</f>
        <v>0.5</v>
      </c>
      <c r="M6" s="2">
        <f>daily_rate!Y2</f>
        <v>0.5</v>
      </c>
      <c r="N6" s="2">
        <f>daily_rate!Z2</f>
        <v>0.5</v>
      </c>
      <c r="O6" t="s">
        <v>150</v>
      </c>
    </row>
    <row r="7" spans="1:16" ht="15">
      <c r="A7" s="25" t="s">
        <v>86</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87</v>
      </c>
      <c r="B10" t="s">
        <v>71</v>
      </c>
      <c r="C10" s="4" t="s">
        <v>72</v>
      </c>
    </row>
    <row r="11" spans="1:16">
      <c r="B11" s="2">
        <f>1-B12</f>
        <v>0.8</v>
      </c>
      <c r="C11" s="95">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Inputs'!I64="",referral_dist!$B$2,'Scenario Inputs'!I64)</f>
        <v>0.2</v>
      </c>
      <c r="C12" s="2">
        <f>IF('Scenario Inputs'!J64="",referral_dist!$B$2,'Scenario Inputs'!J64)</f>
        <v>0.2</v>
      </c>
      <c r="D12" s="2">
        <f>IF('Scenario Inputs'!K64="",referral_dist!$B$2,'Scenario Inputs'!K64)</f>
        <v>0.2</v>
      </c>
      <c r="E12" s="2">
        <f>IF('Scenario Inputs'!L64="",referral_dist!$B$2,'Scenario Inputs'!L64)</f>
        <v>0.2</v>
      </c>
      <c r="F12" s="2">
        <f>IF('Scenario Inputs'!M64="",referral_dist!$B$2,'Scenario Inputs'!M64)</f>
        <v>0.2</v>
      </c>
      <c r="G12" s="2">
        <f>IF('Scenario Inputs'!N64="",referral_dist!$B$2,'Scenario Inputs'!N64)</f>
        <v>0.2</v>
      </c>
      <c r="H12" s="2">
        <f>IF('Scenario Inputs'!O64="",referral_dist!$B$2,'Scenario Inputs'!O64)</f>
        <v>0.2</v>
      </c>
      <c r="I12" s="2">
        <f>IF('Scenario Inputs'!P64="",referral_dist!$B$2,'Scenario Inputs'!P64)</f>
        <v>0.2</v>
      </c>
      <c r="J12" s="2">
        <f>IF('Scenario Inputs'!Q64="",referral_dist!$B$2,'Scenario Inputs'!Q64)</f>
        <v>0.2</v>
      </c>
      <c r="K12" s="2">
        <f>IF('Scenario Inputs'!R64="",referral_dist!$B$2,'Scenario Inputs'!R64)</f>
        <v>0.2</v>
      </c>
      <c r="L12" s="2">
        <f>IF('Scenario Inputs'!S64="",referral_dist!$B$2,'Scenario Inputs'!S64)</f>
        <v>0.2</v>
      </c>
      <c r="M12" s="2">
        <f>IF('Scenario Inputs'!T64="",referral_dist!$B$2,'Scenario Inputs'!T64)</f>
        <v>0.2</v>
      </c>
      <c r="N12" s="2">
        <f>IF('Scenario Inputs'!U64="",referral_dist!$B$2,'Scenario Inputs'!U64)</f>
        <v>0.2</v>
      </c>
    </row>
    <row r="13" spans="1:16">
      <c r="A13" s="1" t="s">
        <v>15</v>
      </c>
      <c r="C13" s="4"/>
    </row>
    <row r="14" spans="1:16" ht="16.8" hidden="1" customHeight="1">
      <c r="B14" s="155" t="s">
        <v>88</v>
      </c>
      <c r="C14" s="155"/>
      <c r="D14" s="155"/>
      <c r="E14" s="155"/>
      <c r="F14" s="155"/>
      <c r="G14" s="155"/>
      <c r="H14" s="155"/>
      <c r="I14" s="155"/>
      <c r="J14" s="155"/>
      <c r="K14" s="155"/>
      <c r="L14" s="155"/>
      <c r="M14" s="155"/>
      <c r="N14" s="155"/>
    </row>
    <row r="15" spans="1:16" hidden="1">
      <c r="B15">
        <v>1</v>
      </c>
      <c r="C15">
        <v>2</v>
      </c>
      <c r="D15">
        <v>3</v>
      </c>
      <c r="E15">
        <v>4</v>
      </c>
      <c r="F15">
        <v>5</v>
      </c>
      <c r="G15">
        <v>6</v>
      </c>
      <c r="H15">
        <v>7</v>
      </c>
      <c r="I15">
        <v>8</v>
      </c>
      <c r="J15">
        <v>9</v>
      </c>
      <c r="K15">
        <v>10</v>
      </c>
      <c r="L15">
        <v>11</v>
      </c>
      <c r="M15">
        <v>12</v>
      </c>
      <c r="N15">
        <v>13</v>
      </c>
    </row>
    <row r="16" spans="1:16" hidden="1">
      <c r="A16" t="s">
        <v>80</v>
      </c>
      <c r="B16">
        <f>IF('Scenario Inputs'!I48="",IncHHD,'Scenario Inputs'!I48)</f>
        <v>0.02</v>
      </c>
      <c r="C16">
        <f>IF('Scenario Inputs'!J48="",IncHHD,'Scenario Inputs'!J48)</f>
        <v>0.02</v>
      </c>
      <c r="D16">
        <f>IF('Scenario Inputs'!K48="",IncHHD,'Scenario Inputs'!K48)</f>
        <v>0.02</v>
      </c>
      <c r="E16">
        <f>IF('Scenario Inputs'!L48="",IncHHD,'Scenario Inputs'!L48)</f>
        <v>0.02</v>
      </c>
      <c r="F16">
        <f>IF('Scenario Inputs'!M48="",IncHHD,'Scenario Inputs'!M48)</f>
        <v>0.02</v>
      </c>
      <c r="G16">
        <f>IF('Scenario Inputs'!N48="",IncHHD,'Scenario Inputs'!N48)</f>
        <v>0.02</v>
      </c>
      <c r="H16">
        <f>IF('Scenario Inputs'!O48="",IncHHD,'Scenario Inputs'!O48)</f>
        <v>0.02</v>
      </c>
      <c r="I16">
        <f>IF('Scenario Inputs'!P48="",IncHHD,'Scenario Inputs'!P48)</f>
        <v>0.02</v>
      </c>
      <c r="J16">
        <f>IF('Scenario Inputs'!Q48="",IncHHD,'Scenario Inputs'!Q48)</f>
        <v>0.02</v>
      </c>
      <c r="K16">
        <f>IF('Scenario Inputs'!R48="",IncHHD,'Scenario Inputs'!R48)</f>
        <v>0.02</v>
      </c>
      <c r="L16">
        <f>IF('Scenario Inputs'!S48="",IncHHD,'Scenario Inputs'!S48)</f>
        <v>0.02</v>
      </c>
      <c r="M16">
        <f>IF('Scenario Inputs'!T48="",IncHHD,'Scenario Inputs'!T48)</f>
        <v>0.02</v>
      </c>
      <c r="N16">
        <f>IF('Scenario Inputs'!U48="",IncHHD,'Scenario Inputs'!U48)</f>
        <v>0.02</v>
      </c>
    </row>
    <row r="17" spans="1:15" hidden="1">
      <c r="A17" t="s">
        <v>81</v>
      </c>
      <c r="B17" cm="1">
        <f t="array" ref="B17">IF('Scenario Inputs'!I49="",IncPD,'Scenario Inputs'!I49)</f>
        <v>0.28999999999999998</v>
      </c>
      <c r="C17" cm="1">
        <f t="array" ref="C17">IF('Scenario Inputs'!J49="",IncPD,'Scenario Inputs'!J49)</f>
        <v>0.28999999999999998</v>
      </c>
      <c r="D17" cm="1">
        <f t="array" ref="D17">IF('Scenario Inputs'!K49="",IncPD,'Scenario Inputs'!K49)</f>
        <v>0.28999999999999998</v>
      </c>
      <c r="E17" cm="1">
        <f t="array" ref="E17">IF('Scenario Inputs'!L49="",IncPD,'Scenario Inputs'!L49)</f>
        <v>0.28999999999999998</v>
      </c>
      <c r="F17" cm="1">
        <f t="array" ref="F17">IF('Scenario Inputs'!M49="",IncPD,'Scenario Inputs'!M49)</f>
        <v>0.28999999999999998</v>
      </c>
      <c r="G17" cm="1">
        <f t="array" ref="G17">IF('Scenario Inputs'!N49="",IncPD,'Scenario Inputs'!N49)</f>
        <v>0.28999999999999998</v>
      </c>
      <c r="H17" cm="1">
        <f t="array" ref="H17">IF('Scenario Inputs'!O49="",IncPD,'Scenario Inputs'!O49)</f>
        <v>0.28999999999999998</v>
      </c>
      <c r="I17" cm="1">
        <f t="array" ref="I17">IF('Scenario Inputs'!P49="",IncPD,'Scenario Inputs'!P49)</f>
        <v>0.28999999999999998</v>
      </c>
      <c r="J17" cm="1">
        <f t="array" ref="J17">IF('Scenario Inputs'!Q49="",IncPD,'Scenario Inputs'!Q49)</f>
        <v>0.28999999999999998</v>
      </c>
      <c r="K17" cm="1">
        <f t="array" ref="K17">IF('Scenario Inputs'!R49="",IncPD,'Scenario Inputs'!R49)</f>
        <v>0.28999999999999998</v>
      </c>
      <c r="L17" cm="1">
        <f t="array" ref="L17">IF('Scenario Inputs'!S49="",IncPD,'Scenario Inputs'!S49)</f>
        <v>0.28999999999999998</v>
      </c>
      <c r="M17" cm="1">
        <f t="array" ref="M17">IF('Scenario Inputs'!T49="",IncPD,'Scenario Inputs'!T49)</f>
        <v>0.28999999999999998</v>
      </c>
      <c r="N17" cm="1">
        <f t="array" ref="N17">IF('Scenario Inputs'!U49="",IncPD,'Scenario Inputs'!U49)</f>
        <v>0.28999999999999998</v>
      </c>
    </row>
    <row r="18" spans="1:15" ht="15" hidden="1">
      <c r="A18" s="25"/>
    </row>
    <row r="19" spans="1:15" ht="15">
      <c r="A19" s="25"/>
      <c r="B19" s="155" t="s">
        <v>88</v>
      </c>
      <c r="C19" s="155"/>
      <c r="D19" s="155"/>
      <c r="E19" s="155"/>
      <c r="F19" s="155"/>
      <c r="G19" s="155"/>
      <c r="H19" s="155"/>
      <c r="I19" s="155"/>
      <c r="J19" s="155"/>
      <c r="K19" s="155"/>
      <c r="L19" s="155"/>
      <c r="M19" s="155"/>
      <c r="N19" s="155"/>
    </row>
    <row r="20" spans="1:15">
      <c r="B20">
        <v>1</v>
      </c>
      <c r="C20">
        <v>2</v>
      </c>
      <c r="D20">
        <v>3</v>
      </c>
      <c r="E20">
        <v>4</v>
      </c>
      <c r="F20">
        <v>5</v>
      </c>
      <c r="G20">
        <v>6</v>
      </c>
      <c r="H20">
        <v>7</v>
      </c>
      <c r="I20">
        <v>8</v>
      </c>
      <c r="J20">
        <v>9</v>
      </c>
      <c r="K20">
        <v>10</v>
      </c>
      <c r="L20">
        <v>11</v>
      </c>
      <c r="M20">
        <v>12</v>
      </c>
      <c r="N20">
        <v>13</v>
      </c>
    </row>
    <row r="21" spans="1:15">
      <c r="A21" t="s">
        <v>78</v>
      </c>
      <c r="B21" s="2">
        <f>IF('Scenario Inputs'!I58="",IncCCD1,'Scenario Inputs'!I58)</f>
        <v>0.1</v>
      </c>
      <c r="C21" s="2">
        <f>IF('Scenario Inputs'!J58="",IncCCD1,'Scenario Inputs'!J58)</f>
        <v>0.1</v>
      </c>
      <c r="D21" s="2">
        <f>IF('Scenario Inputs'!K58="",IncCCD1,'Scenario Inputs'!K58)</f>
        <v>0.1</v>
      </c>
      <c r="E21" s="2">
        <f>IF('Scenario Inputs'!L58="",IncCCD1,'Scenario Inputs'!L58)</f>
        <v>0.1</v>
      </c>
      <c r="F21" s="2">
        <f>IF('Scenario Inputs'!M58="",IncCCD1,'Scenario Inputs'!M58)</f>
        <v>0.1</v>
      </c>
      <c r="G21" s="2">
        <f>IF('Scenario Inputs'!N58="",IncCCD1,'Scenario Inputs'!N58)</f>
        <v>0.1</v>
      </c>
      <c r="H21" s="2">
        <f>IF('Scenario Inputs'!O58="",IncCCD1,'Scenario Inputs'!O58)</f>
        <v>0.1</v>
      </c>
      <c r="I21" s="2">
        <f>IF('Scenario Inputs'!P58="",IncCCD1,'Scenario Inputs'!P58)</f>
        <v>0.1</v>
      </c>
      <c r="J21" s="2">
        <f>IF('Scenario Inputs'!Q58="",IncCCD1,'Scenario Inputs'!Q58)</f>
        <v>0.1</v>
      </c>
      <c r="K21" s="2">
        <f>IF('Scenario Inputs'!R58="",IncCCD1,'Scenario Inputs'!R58)</f>
        <v>0.1</v>
      </c>
      <c r="L21" s="2">
        <f>IF('Scenario Inputs'!S58="",IncCCD1,'Scenario Inputs'!S58)</f>
        <v>0.1</v>
      </c>
      <c r="M21" s="2">
        <f>IF('Scenario Inputs'!T58="",IncCCD1,'Scenario Inputs'!T58)</f>
        <v>0.1</v>
      </c>
      <c r="N21" s="2">
        <f>IF('Scenario Inputs'!U58="",IncCCD1,'Scenario Inputs'!U58)</f>
        <v>0.1</v>
      </c>
    </row>
    <row r="22" spans="1:15">
      <c r="B22" s="2">
        <f>IF('Scenario Inputs'!I59="",IncCCD2,'Scenario Inputs'!I59)</f>
        <v>0.1</v>
      </c>
      <c r="C22" s="2">
        <f>IF('Scenario Inputs'!J59="",IncCCD2,'Scenario Inputs'!J59)</f>
        <v>0.1</v>
      </c>
      <c r="D22" s="2">
        <f>IF('Scenario Inputs'!K59="",IncCCD2,'Scenario Inputs'!K59)</f>
        <v>0.1</v>
      </c>
      <c r="E22" s="2">
        <f>IF('Scenario Inputs'!L59="",IncCCD2,'Scenario Inputs'!L59)</f>
        <v>0.1</v>
      </c>
      <c r="F22" s="2">
        <f>IF('Scenario Inputs'!M59="",IncCCD2,'Scenario Inputs'!M59)</f>
        <v>0.1</v>
      </c>
      <c r="G22" s="2">
        <f>IF('Scenario Inputs'!N59="",IncCCD2,'Scenario Inputs'!N59)</f>
        <v>0.1</v>
      </c>
      <c r="H22" s="2">
        <f>IF('Scenario Inputs'!O59="",IncCCD2,'Scenario Inputs'!O59)</f>
        <v>0.1</v>
      </c>
      <c r="I22" s="2">
        <f>IF('Scenario Inputs'!P59="",IncCCD2,'Scenario Inputs'!P59)</f>
        <v>0.1</v>
      </c>
      <c r="J22" s="2">
        <f>IF('Scenario Inputs'!Q59="",IncCCD2,'Scenario Inputs'!Q59)</f>
        <v>0.1</v>
      </c>
      <c r="K22" s="2">
        <f>IF('Scenario Inputs'!R59="",IncCCD2,'Scenario Inputs'!R59)</f>
        <v>0.1</v>
      </c>
      <c r="L22" s="2">
        <f>IF('Scenario Inputs'!S59="",IncCCD2,'Scenario Inputs'!S59)</f>
        <v>0.1</v>
      </c>
      <c r="M22" s="2">
        <f>IF('Scenario Inputs'!T59="",IncCCD2,'Scenario Inputs'!T59)</f>
        <v>0.1</v>
      </c>
      <c r="N22" s="2">
        <f>IF('Scenario Inputs'!U59="",IncCCD2,'Scenario Inputs'!U59)</f>
        <v>0.1</v>
      </c>
    </row>
    <row r="23" spans="1:15">
      <c r="B23" s="2">
        <f>IF('Scenario Inputs'!I60="",IncCCD3,'Scenario Inputs'!I60)</f>
        <v>0.1</v>
      </c>
      <c r="C23" s="2">
        <f>IF('Scenario Inputs'!J60="",IncCCD3,'Scenario Inputs'!J60)</f>
        <v>0.1</v>
      </c>
      <c r="D23" s="2">
        <f>IF('Scenario Inputs'!K60="",IncCCD3,'Scenario Inputs'!K60)</f>
        <v>0.1</v>
      </c>
      <c r="E23" s="2">
        <f>IF('Scenario Inputs'!L60="",IncCCD3,'Scenario Inputs'!L60)</f>
        <v>0.1</v>
      </c>
      <c r="F23" s="2">
        <f>IF('Scenario Inputs'!M60="",IncCCD3,'Scenario Inputs'!M60)</f>
        <v>0.1</v>
      </c>
      <c r="G23" s="2">
        <f>IF('Scenario Inputs'!N60="",IncCCD3,'Scenario Inputs'!N60)</f>
        <v>0.1</v>
      </c>
      <c r="H23" s="2">
        <f>IF('Scenario Inputs'!O60="",IncCCD3,'Scenario Inputs'!O60)</f>
        <v>0.1</v>
      </c>
      <c r="I23" s="2">
        <f>IF('Scenario Inputs'!P60="",IncCCD3,'Scenario Inputs'!P60)</f>
        <v>0.1</v>
      </c>
      <c r="J23" s="2">
        <f>IF('Scenario Inputs'!Q60="",IncCCD3,'Scenario Inputs'!Q60)</f>
        <v>0.1</v>
      </c>
      <c r="K23" s="2">
        <f>IF('Scenario Inputs'!R60="",IncCCD3,'Scenario Inputs'!R60)</f>
        <v>0.1</v>
      </c>
      <c r="L23" s="2">
        <f>IF('Scenario Inputs'!S60="",IncCCD3,'Scenario Inputs'!S60)</f>
        <v>0.1</v>
      </c>
      <c r="M23" s="2">
        <f>IF('Scenario Inputs'!T60="",IncCCD3,'Scenario Inputs'!T60)</f>
        <v>0.1</v>
      </c>
      <c r="N23" s="2">
        <f>IF('Scenario Inputs'!U60="",IncCCD3,'Scenario Inputs'!U60)</f>
        <v>0.1</v>
      </c>
    </row>
    <row r="24" spans="1:15">
      <c r="B24" s="2">
        <f>IF('Scenario Inputs'!I61="",IncCCD4,'Scenario Inputs'!I61)</f>
        <v>0.1</v>
      </c>
      <c r="C24" s="2">
        <f>IF('Scenario Inputs'!J61="",IncCCD4,'Scenario Inputs'!J61)</f>
        <v>0.1</v>
      </c>
      <c r="D24" s="2">
        <f>IF('Scenario Inputs'!K61="",IncCCD4,'Scenario Inputs'!K61)</f>
        <v>0.1</v>
      </c>
      <c r="E24" s="2">
        <f>IF('Scenario Inputs'!L61="",IncCCD4,'Scenario Inputs'!L61)</f>
        <v>0.1</v>
      </c>
      <c r="F24" s="2">
        <f>IF('Scenario Inputs'!M61="",IncCCD4,'Scenario Inputs'!M61)</f>
        <v>0.1</v>
      </c>
      <c r="G24" s="2">
        <f>IF('Scenario Inputs'!N61="",IncCCD4,'Scenario Inputs'!N61)</f>
        <v>0.1</v>
      </c>
      <c r="H24" s="2">
        <f>IF('Scenario Inputs'!O61="",IncCCD4,'Scenario Inputs'!O61)</f>
        <v>0.1</v>
      </c>
      <c r="I24" s="2">
        <f>IF('Scenario Inputs'!P61="",IncCCD4,'Scenario Inputs'!P61)</f>
        <v>0.1</v>
      </c>
      <c r="J24" s="2">
        <f>IF('Scenario Inputs'!Q61="",IncCCD4,'Scenario Inputs'!Q61)</f>
        <v>0.1</v>
      </c>
      <c r="K24" s="2">
        <f>IF('Scenario Inputs'!R61="",IncCCD4,'Scenario Inputs'!R61)</f>
        <v>0.1</v>
      </c>
      <c r="L24" s="2">
        <f>IF('Scenario Inputs'!S61="",IncCCD4,'Scenario Inputs'!S61)</f>
        <v>0.1</v>
      </c>
      <c r="M24" s="2">
        <f>IF('Scenario Inputs'!T61="",IncCCD4,'Scenario Inputs'!T61)</f>
        <v>0.1</v>
      </c>
      <c r="N24" s="2">
        <f>IF('Scenario Inputs'!U61="",IncCCD4,'Scenario Inputs'!U61)</f>
        <v>0.1</v>
      </c>
    </row>
    <row r="25" spans="1:15">
      <c r="B25" s="2">
        <f>IF('Scenario Inputs'!I62="",IncCCD5,'Scenario Inputs'!I62)</f>
        <v>0.25</v>
      </c>
      <c r="C25" s="2">
        <f>IF('Scenario Inputs'!J62="",IncCCD5,'Scenario Inputs'!J62)</f>
        <v>0.25</v>
      </c>
      <c r="D25" s="2">
        <f>IF('Scenario Inputs'!K62="",IncCCD5,'Scenario Inputs'!K62)</f>
        <v>0.25</v>
      </c>
      <c r="E25" s="2">
        <f>IF('Scenario Inputs'!L62="",IncCCD5,'Scenario Inputs'!L62)</f>
        <v>0.25</v>
      </c>
      <c r="F25" s="2">
        <f>IF('Scenario Inputs'!M62="",IncCCD5,'Scenario Inputs'!M62)</f>
        <v>0.25</v>
      </c>
      <c r="G25" s="2">
        <f>IF('Scenario Inputs'!N62="",IncCCD5,'Scenario Inputs'!N62)</f>
        <v>0.25</v>
      </c>
      <c r="H25" s="2">
        <f>IF('Scenario Inputs'!O62="",IncCCD5,'Scenario Inputs'!O62)</f>
        <v>0.25</v>
      </c>
      <c r="I25" s="2">
        <f>IF('Scenario Inputs'!P62="",IncCCD5,'Scenario Inputs'!P62)</f>
        <v>0.25</v>
      </c>
      <c r="J25" s="2">
        <f>IF('Scenario Inputs'!Q62="",IncCCD5,'Scenario Inputs'!Q62)</f>
        <v>0.25</v>
      </c>
      <c r="K25" s="2">
        <f>IF('Scenario Inputs'!R62="",IncCCD5,'Scenario Inputs'!R62)</f>
        <v>0.25</v>
      </c>
      <c r="L25" s="2">
        <f>IF('Scenario Inputs'!S62="",IncCCD5,'Scenario Inputs'!S62)</f>
        <v>0.25</v>
      </c>
      <c r="M25" s="2">
        <f>IF('Scenario Inputs'!T62="",IncCCD5,'Scenario Inputs'!T62)</f>
        <v>0.25</v>
      </c>
      <c r="N25" s="2">
        <f>IF('Scenario Inputs'!U62="",IncCCD5,'Scenario Inputs'!U62)</f>
        <v>0.25</v>
      </c>
    </row>
    <row r="26" spans="1:15">
      <c r="B26" s="2">
        <f>IF('Scenario Inputs'!I63="",IncCCD6,'Scenario Inputs'!I63)</f>
        <v>0.5</v>
      </c>
      <c r="C26" s="2">
        <f>IF('Scenario Inputs'!J63="",IncCCD6,'Scenario Inputs'!J63)</f>
        <v>0.5</v>
      </c>
      <c r="D26" s="2">
        <f>IF('Scenario Inputs'!K63="",IncCCD6,'Scenario Inputs'!K63)</f>
        <v>0.5</v>
      </c>
      <c r="E26" s="2">
        <f>IF('Scenario Inputs'!L63="",IncCCD6,'Scenario Inputs'!L63)</f>
        <v>0.5</v>
      </c>
      <c r="F26" s="2">
        <f>IF('Scenario Inputs'!M63="",IncCCD6,'Scenario Inputs'!M63)</f>
        <v>0.5</v>
      </c>
      <c r="G26" s="2">
        <f>IF('Scenario Inputs'!N63="",IncCCD6,'Scenario Inputs'!N63)</f>
        <v>0.5</v>
      </c>
      <c r="H26" s="2">
        <f>IF('Scenario Inputs'!O63="",IncCCD6,'Scenario Inputs'!O63)</f>
        <v>0.5</v>
      </c>
      <c r="I26" s="2">
        <f>IF('Scenario Inputs'!P63="",IncCCD6,'Scenario Inputs'!P63)</f>
        <v>0.5</v>
      </c>
      <c r="J26" s="2">
        <f>IF('Scenario Inputs'!Q63="",IncCCD6,'Scenario Inputs'!Q63)</f>
        <v>0.5</v>
      </c>
      <c r="K26" s="2">
        <f>IF('Scenario Inputs'!R63="",IncCCD6,'Scenario Inputs'!R63)</f>
        <v>0.5</v>
      </c>
      <c r="L26" s="2">
        <f>IF('Scenario Inputs'!S63="",IncCCD6,'Scenario Inputs'!S63)</f>
        <v>0.5</v>
      </c>
      <c r="M26" s="2">
        <f>IF('Scenario Inputs'!T63="",IncCCD6,'Scenario Inputs'!T63)</f>
        <v>0.5</v>
      </c>
      <c r="N26" s="2">
        <f>IF('Scenario Inputs'!U63="",IncCCD6,'Scenario Inputs'!U63)</f>
        <v>0.5</v>
      </c>
    </row>
    <row r="27" spans="1:15">
      <c r="A27" t="s">
        <v>79</v>
      </c>
      <c r="B27" s="96">
        <f>IF('Scenario Inputs'!I64="",IncLP,'Scenario Inputs'!I64)</f>
        <v>0.2</v>
      </c>
      <c r="C27" s="96">
        <f>IF('Scenario Inputs'!J64="",IncLP,'Scenario Inputs'!J64)</f>
        <v>0.2</v>
      </c>
      <c r="D27" s="96">
        <f>IF('Scenario Inputs'!K64="",IncLP,'Scenario Inputs'!K64)</f>
        <v>0.2</v>
      </c>
      <c r="E27" s="96">
        <f>IF('Scenario Inputs'!L64="",IncLP,'Scenario Inputs'!L64)</f>
        <v>0.2</v>
      </c>
      <c r="F27" s="96">
        <f>IF('Scenario Inputs'!M64="",IncLP,'Scenario Inputs'!M64)</f>
        <v>0.2</v>
      </c>
      <c r="G27" s="96">
        <f>IF('Scenario Inputs'!N64="",IncLP,'Scenario Inputs'!N64)</f>
        <v>0.2</v>
      </c>
      <c r="H27" s="96">
        <f>IF('Scenario Inputs'!O64="",IncLP,'Scenario Inputs'!O64)</f>
        <v>0.2</v>
      </c>
      <c r="I27" s="96">
        <f>IF('Scenario Inputs'!P64="",IncLP,'Scenario Inputs'!P64)</f>
        <v>0.2</v>
      </c>
      <c r="J27" s="96">
        <f>IF('Scenario Inputs'!Q64="",IncLP,'Scenario Inputs'!Q64)</f>
        <v>0.2</v>
      </c>
      <c r="K27" s="96">
        <f>IF('Scenario Inputs'!R64="",IncLP,'Scenario Inputs'!R64)</f>
        <v>0.2</v>
      </c>
      <c r="L27" s="96">
        <f>IF('Scenario Inputs'!S64="",IncLP,'Scenario Inputs'!S64)</f>
        <v>0.2</v>
      </c>
      <c r="M27" s="96">
        <f>IF('Scenario Inputs'!T64="",IncLP,'Scenario Inputs'!T64)</f>
        <v>0.2</v>
      </c>
      <c r="N27" s="96">
        <f>IF('Scenario Inputs'!U64="",IncLP,'Scenario Inputs'!U64)</f>
        <v>0.2</v>
      </c>
    </row>
    <row r="29" spans="1:15">
      <c r="C29" t="s">
        <v>98</v>
      </c>
    </row>
    <row r="30" spans="1:15">
      <c r="B30" t="s">
        <v>17</v>
      </c>
      <c r="C30">
        <v>1</v>
      </c>
      <c r="D30">
        <v>2</v>
      </c>
      <c r="E30">
        <v>3</v>
      </c>
      <c r="F30">
        <v>4</v>
      </c>
      <c r="G30">
        <v>5</v>
      </c>
      <c r="H30">
        <v>6</v>
      </c>
      <c r="I30">
        <v>7</v>
      </c>
      <c r="J30">
        <v>8</v>
      </c>
      <c r="K30">
        <v>9</v>
      </c>
      <c r="L30">
        <v>10</v>
      </c>
      <c r="M30">
        <v>11</v>
      </c>
      <c r="N30">
        <v>12</v>
      </c>
      <c r="O30">
        <v>13</v>
      </c>
    </row>
    <row r="33" spans="1:28">
      <c r="A33" t="s">
        <v>96</v>
      </c>
      <c r="B33" s="107">
        <f>IncPElive</f>
        <v>0.3</v>
      </c>
      <c r="C33" s="107">
        <f>IF('Scenario Inputs'!I73="",IncPElive,'Scenario Inputs'!I73)</f>
        <v>0.3</v>
      </c>
      <c r="D33" s="107">
        <f>IF('Scenario Inputs'!J73="",IncPElive,'Scenario Inputs'!J73)</f>
        <v>0.3</v>
      </c>
      <c r="E33" s="107">
        <f>IF('Scenario Inputs'!K73="",IncPElive,'Scenario Inputs'!K73)</f>
        <v>0.3</v>
      </c>
      <c r="F33" s="107">
        <f>IF('Scenario Inputs'!L73="",IncPElive,'Scenario Inputs'!L73)</f>
        <v>0.3</v>
      </c>
      <c r="G33" s="107">
        <f>IF('Scenario Inputs'!M73="",IncPElive,'Scenario Inputs'!M73)</f>
        <v>0.3</v>
      </c>
      <c r="H33" s="107">
        <f>IF('Scenario Inputs'!N73="",IncPElive,'Scenario Inputs'!N73)</f>
        <v>0.3</v>
      </c>
      <c r="I33" s="107">
        <f>IF('Scenario Inputs'!O73="",IncPElive,'Scenario Inputs'!O73)</f>
        <v>0.3</v>
      </c>
      <c r="J33" s="107">
        <f>IF('Scenario Inputs'!P73="",IncPElive,'Scenario Inputs'!P73)</f>
        <v>0.3</v>
      </c>
      <c r="K33" s="107">
        <f>IF('Scenario Inputs'!Q73="",IncPElive,'Scenario Inputs'!Q73)</f>
        <v>0.3</v>
      </c>
      <c r="L33" s="107">
        <f>IF('Scenario Inputs'!R73="",IncPElive,'Scenario Inputs'!R73)</f>
        <v>0.3</v>
      </c>
      <c r="M33" s="107">
        <f>IF('Scenario Inputs'!S73="",IncPElive,'Scenario Inputs'!S73)</f>
        <v>0.3</v>
      </c>
      <c r="N33" s="107">
        <f>IF('Scenario Inputs'!T73="",IncPElive,'Scenario Inputs'!T73)</f>
        <v>0.3</v>
      </c>
      <c r="O33" s="107">
        <f>IF('Scenario Inputs'!U73="",IncPElive,'Scenario Inputs'!U73)</f>
        <v>0.3</v>
      </c>
    </row>
    <row r="34" spans="1:28">
      <c r="A34" t="s">
        <v>97</v>
      </c>
      <c r="B34" s="107">
        <f>IncPEcad</f>
        <v>9.9999999999999992E-2</v>
      </c>
      <c r="C34" s="107">
        <f>IF('Scenario Inputs'!I74="",IncPEcad,'Scenario Inputs'!I74)</f>
        <v>9.9999999999999992E-2</v>
      </c>
      <c r="D34" s="107">
        <f>IF('Scenario Inputs'!J74="",IncPEcad,'Scenario Inputs'!J74)</f>
        <v>9.9999999999999992E-2</v>
      </c>
      <c r="E34" s="107">
        <f>IF('Scenario Inputs'!K74="",IncPEcad,'Scenario Inputs'!K74)</f>
        <v>9.9999999999999992E-2</v>
      </c>
      <c r="F34" s="107">
        <f>IF('Scenario Inputs'!L74="",IncPEcad,'Scenario Inputs'!L74)</f>
        <v>9.9999999999999992E-2</v>
      </c>
      <c r="G34" s="107">
        <f>IF('Scenario Inputs'!M74="",IncPEcad,'Scenario Inputs'!M74)</f>
        <v>9.9999999999999992E-2</v>
      </c>
      <c r="H34" s="107">
        <f>IF('Scenario Inputs'!N74="",IncPEcad,'Scenario Inputs'!N74)</f>
        <v>9.9999999999999992E-2</v>
      </c>
      <c r="I34" s="107">
        <f>IF('Scenario Inputs'!O74="",IncPEcad,'Scenario Inputs'!O74)</f>
        <v>9.9999999999999992E-2</v>
      </c>
      <c r="J34" s="107">
        <f>IF('Scenario Inputs'!P74="",IncPEcad,'Scenario Inputs'!P74)</f>
        <v>9.9999999999999992E-2</v>
      </c>
      <c r="K34" s="107">
        <f>IF('Scenario Inputs'!Q74="",IncPEcad,'Scenario Inputs'!Q74)</f>
        <v>9.9999999999999992E-2</v>
      </c>
      <c r="L34" s="107">
        <f>IF('Scenario Inputs'!R74="",IncPEcad,'Scenario Inputs'!R74)</f>
        <v>9.9999999999999992E-2</v>
      </c>
      <c r="M34" s="107">
        <f>IF('Scenario Inputs'!S74="",IncPEcad,'Scenario Inputs'!S74)</f>
        <v>9.9999999999999992E-2</v>
      </c>
      <c r="N34" s="107">
        <f>IF('Scenario Inputs'!T74="",IncPEcad,'Scenario Inputs'!T74)</f>
        <v>9.9999999999999992E-2</v>
      </c>
      <c r="O34" s="107">
        <f>IF('Scenario Inputs'!U74="",IncPEcad,'Scenario Inputs'!U74)</f>
        <v>9.9999999999999992E-2</v>
      </c>
    </row>
    <row r="37" spans="1:28">
      <c r="A37" s="1" t="s">
        <v>54</v>
      </c>
    </row>
    <row r="38" spans="1:28" ht="19.2">
      <c r="A38" s="47" t="s">
        <v>165</v>
      </c>
      <c r="B38" s="101">
        <f>'Cost Inputs'!K18/365</f>
        <v>172.17000000000002</v>
      </c>
      <c r="C38" s="67"/>
    </row>
    <row r="39" spans="1:28" ht="19.2">
      <c r="A39" s="48" t="s">
        <v>166</v>
      </c>
      <c r="B39" s="101">
        <f>'Cost Inputs'!K19/365</f>
        <v>140.06</v>
      </c>
      <c r="C39" s="67"/>
    </row>
    <row r="40" spans="1:28" ht="19.2">
      <c r="A40" s="48" t="s">
        <v>167</v>
      </c>
      <c r="B40" s="101">
        <f>'Cost Inputs'!K20/365</f>
        <v>107.92</v>
      </c>
      <c r="C40" s="67"/>
    </row>
    <row r="41" spans="1:28" ht="19.2">
      <c r="A41" s="48" t="s">
        <v>168</v>
      </c>
      <c r="B41" s="101">
        <f>'Cost Inputs'!K21/365</f>
        <v>24.67</v>
      </c>
      <c r="C41" s="67"/>
    </row>
    <row r="42" spans="1:28" ht="19.2">
      <c r="A42" s="67"/>
      <c r="B42" s="70"/>
      <c r="C42" s="67"/>
    </row>
    <row r="43" spans="1:28" ht="19.2" hidden="1">
      <c r="A43" s="68" t="s">
        <v>104</v>
      </c>
      <c r="B43" s="70"/>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61">
        <f>daily_rate!A4</f>
        <v>0</v>
      </c>
      <c r="D44" s="61">
        <f>daily_rate!B4</f>
        <v>0</v>
      </c>
      <c r="E44" s="61">
        <f>daily_rate!C4</f>
        <v>0</v>
      </c>
      <c r="F44" s="61">
        <f>daily_rate!D4</f>
        <v>0</v>
      </c>
      <c r="G44" s="61">
        <f>daily_rate!E4</f>
        <v>0</v>
      </c>
      <c r="H44" s="61">
        <f>daily_rate!F4</f>
        <v>0</v>
      </c>
      <c r="I44" s="61">
        <f>daily_rate!G4</f>
        <v>0</v>
      </c>
      <c r="J44" s="61">
        <f>daily_rate!H4</f>
        <v>0</v>
      </c>
      <c r="K44" s="61">
        <f>daily_rate!I4</f>
        <v>0</v>
      </c>
      <c r="L44" s="61">
        <f>daily_rate!J4</f>
        <v>0</v>
      </c>
      <c r="M44" s="61">
        <f>daily_rate!K4</f>
        <v>0</v>
      </c>
      <c r="N44" s="61">
        <f>daily_rate!L4</f>
        <v>0</v>
      </c>
      <c r="O44" s="61">
        <f>daily_rate!M4</f>
        <v>0</v>
      </c>
      <c r="P44" s="61">
        <f>daily_rate!N4</f>
        <v>0</v>
      </c>
      <c r="Q44" s="61">
        <f>daily_rate!O4</f>
        <v>0</v>
      </c>
      <c r="R44" s="61">
        <f>daily_rate!P4</f>
        <v>0</v>
      </c>
      <c r="S44" s="61">
        <f>daily_rate!Q4</f>
        <v>0</v>
      </c>
      <c r="T44" s="61">
        <f>daily_rate!R4</f>
        <v>0</v>
      </c>
      <c r="U44" s="61">
        <f>daily_rate!S4</f>
        <v>0</v>
      </c>
      <c r="V44" s="61">
        <f>daily_rate!T4</f>
        <v>0</v>
      </c>
      <c r="W44" s="61">
        <f>daily_rate!U4</f>
        <v>0</v>
      </c>
      <c r="X44" s="61">
        <f>daily_rate!V4</f>
        <v>0</v>
      </c>
      <c r="Y44" s="61">
        <f>daily_rate!W4</f>
        <v>0</v>
      </c>
      <c r="Z44" s="61">
        <f>daily_rate!X4</f>
        <v>0</v>
      </c>
      <c r="AA44" s="61">
        <f>daily_rate!Y4</f>
        <v>0</v>
      </c>
      <c r="AB44" s="61">
        <f>daily_rate!Z4</f>
        <v>0</v>
      </c>
    </row>
    <row r="45" spans="1:28" hidden="1">
      <c r="C45" s="155" t="s">
        <v>63</v>
      </c>
      <c r="D45" s="155"/>
      <c r="E45" s="155"/>
      <c r="F45" s="155"/>
      <c r="G45" s="155"/>
      <c r="H45" s="155"/>
      <c r="I45" s="155"/>
      <c r="J45" s="155"/>
      <c r="K45" s="155"/>
      <c r="L45" s="155"/>
      <c r="M45" s="155"/>
      <c r="N45" s="155"/>
      <c r="O45" s="155"/>
      <c r="P45" s="155" t="s">
        <v>137</v>
      </c>
      <c r="Q45" s="155"/>
      <c r="R45" s="155"/>
      <c r="S45" s="155"/>
      <c r="T45" s="155"/>
      <c r="U45" s="155"/>
      <c r="V45" s="155"/>
      <c r="W45" s="155"/>
      <c r="X45" s="155"/>
      <c r="Y45" s="155"/>
      <c r="Z45" s="155"/>
      <c r="AA45" s="155"/>
      <c r="AB45" s="155"/>
    </row>
    <row r="46" spans="1:28" ht="19.2">
      <c r="A46" s="68" t="s">
        <v>99</v>
      </c>
    </row>
    <row r="47" spans="1:28" ht="12" customHeight="1">
      <c r="A47" s="68"/>
    </row>
    <row r="48" spans="1:28">
      <c r="A48" t="s">
        <v>100</v>
      </c>
      <c r="B48" t="s">
        <v>179</v>
      </c>
      <c r="C48" t="s">
        <v>154</v>
      </c>
      <c r="E48" t="s">
        <v>182</v>
      </c>
      <c r="F48" t="s">
        <v>179</v>
      </c>
      <c r="G48" t="s">
        <v>154</v>
      </c>
    </row>
    <row r="49" spans="1:31">
      <c r="A49" s="4">
        <v>1</v>
      </c>
      <c r="B49" s="95">
        <f>suitableForTx!B1</f>
        <v>0.7</v>
      </c>
      <c r="C49" s="2">
        <f>suitableForTx!B9</f>
        <v>0.7</v>
      </c>
      <c r="E49" s="4">
        <v>1</v>
      </c>
      <c r="F49" s="2">
        <f>MIN(1,I49+0*I49)</f>
        <v>0.9</v>
      </c>
      <c r="G49" s="2">
        <f>J49+0*J49</f>
        <v>0.6</v>
      </c>
      <c r="I49">
        <f>receivesTx!B1</f>
        <v>0.9</v>
      </c>
      <c r="J49">
        <f>receivesTx!B9</f>
        <v>0.6</v>
      </c>
    </row>
    <row r="50" spans="1:31">
      <c r="A50" s="4">
        <v>2</v>
      </c>
      <c r="B50" s="95">
        <f>suitableForTx!B2</f>
        <v>0.6</v>
      </c>
      <c r="C50" s="2">
        <f>suitableForTx!B10</f>
        <v>0.6</v>
      </c>
      <c r="E50" s="4">
        <v>2</v>
      </c>
      <c r="F50" s="2">
        <f t="shared" ref="F50:F54" si="1">MIN(1,I50+0*I50)</f>
        <v>0.8</v>
      </c>
      <c r="G50" s="2">
        <f t="shared" ref="G50:G54" si="2">J50+0*J50</f>
        <v>0.3</v>
      </c>
      <c r="I50">
        <f>receivesTx!B2</f>
        <v>0.8</v>
      </c>
      <c r="J50">
        <f>receivesTx!B10</f>
        <v>0.3</v>
      </c>
    </row>
    <row r="51" spans="1:31">
      <c r="A51" s="4">
        <v>3</v>
      </c>
      <c r="B51" s="95">
        <f>suitableForTx!B3</f>
        <v>0.5</v>
      </c>
      <c r="C51" s="2">
        <f>suitableForTx!B11</f>
        <v>0.5</v>
      </c>
      <c r="E51" s="4">
        <v>3</v>
      </c>
      <c r="F51" s="2">
        <f t="shared" si="1"/>
        <v>0.6</v>
      </c>
      <c r="G51" s="2">
        <f t="shared" si="2"/>
        <v>0.3</v>
      </c>
      <c r="I51">
        <f>receivesTx!B3</f>
        <v>0.6</v>
      </c>
      <c r="J51">
        <f>receivesTx!B11</f>
        <v>0.3</v>
      </c>
    </row>
    <row r="52" spans="1:31">
      <c r="A52" s="4">
        <v>4</v>
      </c>
      <c r="B52" s="95">
        <f>suitableForTx!B4</f>
        <v>0.4</v>
      </c>
      <c r="C52" s="2">
        <f>suitableForTx!B12</f>
        <v>0.4</v>
      </c>
      <c r="E52" s="4">
        <v>4</v>
      </c>
      <c r="F52" s="2">
        <f t="shared" si="1"/>
        <v>0.5</v>
      </c>
      <c r="G52" s="2">
        <f t="shared" si="2"/>
        <v>0.3</v>
      </c>
      <c r="I52">
        <f>receivesTx!B4</f>
        <v>0.5</v>
      </c>
      <c r="J52">
        <f>receivesTx!B12</f>
        <v>0.3</v>
      </c>
    </row>
    <row r="53" spans="1:31">
      <c r="A53" s="4">
        <v>5</v>
      </c>
      <c r="B53" s="95">
        <f>suitableForTx!B5</f>
        <v>0.2</v>
      </c>
      <c r="C53" s="2">
        <f>suitableForTx!B13</f>
        <v>0.2</v>
      </c>
      <c r="E53" s="4">
        <v>5</v>
      </c>
      <c r="F53" s="2">
        <f t="shared" si="1"/>
        <v>0.5</v>
      </c>
      <c r="G53" s="2">
        <f t="shared" si="2"/>
        <v>0.15</v>
      </c>
      <c r="I53">
        <f>receivesTx!B5</f>
        <v>0.5</v>
      </c>
      <c r="J53">
        <f>receivesTx!B13</f>
        <v>0.15</v>
      </c>
    </row>
    <row r="54" spans="1:31">
      <c r="A54" s="4">
        <v>6</v>
      </c>
      <c r="B54" s="95">
        <f>suitableForTx!B6</f>
        <v>0.05</v>
      </c>
      <c r="C54" s="2">
        <f>suitableForTx!B14</f>
        <v>0.05</v>
      </c>
      <c r="E54" s="4">
        <v>6</v>
      </c>
      <c r="F54" s="2">
        <f t="shared" si="1"/>
        <v>0</v>
      </c>
      <c r="G54" s="2">
        <f t="shared" si="2"/>
        <v>0</v>
      </c>
      <c r="I54">
        <f>receivesTx!B6</f>
        <v>0</v>
      </c>
      <c r="J54">
        <f>receivesTx!B14</f>
        <v>0</v>
      </c>
    </row>
    <row r="56" spans="1:31">
      <c r="A56" t="s">
        <v>101</v>
      </c>
      <c r="C56">
        <v>1</v>
      </c>
      <c r="D56">
        <v>2</v>
      </c>
      <c r="E56">
        <v>3</v>
      </c>
      <c r="F56">
        <v>4</v>
      </c>
      <c r="G56">
        <v>5</v>
      </c>
      <c r="H56">
        <v>6</v>
      </c>
      <c r="I56">
        <v>7</v>
      </c>
      <c r="J56">
        <v>8</v>
      </c>
      <c r="K56">
        <v>9</v>
      </c>
      <c r="L56">
        <v>10</v>
      </c>
      <c r="M56">
        <v>11</v>
      </c>
      <c r="N56">
        <v>12</v>
      </c>
      <c r="O56">
        <v>13</v>
      </c>
      <c r="Q56" t="s">
        <v>147</v>
      </c>
      <c r="S56">
        <v>1</v>
      </c>
      <c r="T56">
        <v>2</v>
      </c>
      <c r="U56">
        <v>3</v>
      </c>
      <c r="V56">
        <v>4</v>
      </c>
      <c r="W56">
        <v>5</v>
      </c>
      <c r="X56">
        <v>6</v>
      </c>
      <c r="Y56">
        <v>7</v>
      </c>
      <c r="Z56">
        <v>8</v>
      </c>
      <c r="AA56">
        <v>9</v>
      </c>
      <c r="AB56">
        <v>10</v>
      </c>
      <c r="AC56">
        <v>11</v>
      </c>
      <c r="AD56">
        <v>12</v>
      </c>
      <c r="AE56">
        <v>13</v>
      </c>
    </row>
    <row r="57" spans="1:31">
      <c r="A57" s="4" t="s">
        <v>71</v>
      </c>
      <c r="B57" s="4" t="s">
        <v>65</v>
      </c>
      <c r="C57" s="97">
        <f>C$34</f>
        <v>9.9999999999999992E-2</v>
      </c>
      <c r="D57" s="97">
        <f>D$34</f>
        <v>9.9999999999999992E-2</v>
      </c>
      <c r="E57" s="97">
        <f t="shared" ref="D57:O62" si="3">E$34</f>
        <v>9.9999999999999992E-2</v>
      </c>
      <c r="F57" s="97">
        <f t="shared" si="3"/>
        <v>9.9999999999999992E-2</v>
      </c>
      <c r="G57" s="97">
        <f t="shared" si="3"/>
        <v>9.9999999999999992E-2</v>
      </c>
      <c r="H57" s="97">
        <f t="shared" si="3"/>
        <v>9.9999999999999992E-2</v>
      </c>
      <c r="I57" s="97">
        <f t="shared" si="3"/>
        <v>9.9999999999999992E-2</v>
      </c>
      <c r="J57" s="97">
        <f t="shared" si="3"/>
        <v>9.9999999999999992E-2</v>
      </c>
      <c r="K57" s="97">
        <f t="shared" si="3"/>
        <v>9.9999999999999992E-2</v>
      </c>
      <c r="L57" s="97">
        <f t="shared" si="3"/>
        <v>9.9999999999999992E-2</v>
      </c>
      <c r="M57" s="97">
        <f t="shared" si="3"/>
        <v>9.9999999999999992E-2</v>
      </c>
      <c r="N57" s="97">
        <f t="shared" si="3"/>
        <v>9.9999999999999992E-2</v>
      </c>
      <c r="O57" s="97">
        <f>O$34</f>
        <v>9.9999999999999992E-2</v>
      </c>
      <c r="Q57" s="4" t="s">
        <v>71</v>
      </c>
      <c r="R57" s="95" t="s">
        <v>65</v>
      </c>
      <c r="S57" s="97">
        <f>C$33</f>
        <v>0.3</v>
      </c>
      <c r="T57" s="97">
        <f t="shared" ref="T57:AE57" si="4">D$33</f>
        <v>0.3</v>
      </c>
      <c r="U57" s="97">
        <f t="shared" si="4"/>
        <v>0.3</v>
      </c>
      <c r="V57" s="97">
        <f t="shared" si="4"/>
        <v>0.3</v>
      </c>
      <c r="W57" s="97">
        <f t="shared" si="4"/>
        <v>0.3</v>
      </c>
      <c r="X57" s="97">
        <f t="shared" si="4"/>
        <v>0.3</v>
      </c>
      <c r="Y57" s="97">
        <f t="shared" si="4"/>
        <v>0.3</v>
      </c>
      <c r="Z57" s="97">
        <f t="shared" si="4"/>
        <v>0.3</v>
      </c>
      <c r="AA57" s="97">
        <f t="shared" si="4"/>
        <v>0.3</v>
      </c>
      <c r="AB57" s="97">
        <f t="shared" si="4"/>
        <v>0.3</v>
      </c>
      <c r="AC57" s="97">
        <f t="shared" si="4"/>
        <v>0.3</v>
      </c>
      <c r="AD57" s="97">
        <f t="shared" si="4"/>
        <v>0.3</v>
      </c>
      <c r="AE57" s="97">
        <f t="shared" si="4"/>
        <v>0.3</v>
      </c>
    </row>
    <row r="58" spans="1:31">
      <c r="A58" s="4" t="s">
        <v>71</v>
      </c>
      <c r="B58" s="4" t="s">
        <v>67</v>
      </c>
      <c r="C58" s="97">
        <f t="shared" ref="C58:C62" si="5">C$34</f>
        <v>9.9999999999999992E-2</v>
      </c>
      <c r="D58" s="97">
        <f t="shared" si="3"/>
        <v>9.9999999999999992E-2</v>
      </c>
      <c r="E58" s="97">
        <f t="shared" si="3"/>
        <v>9.9999999999999992E-2</v>
      </c>
      <c r="F58" s="97">
        <f t="shared" si="3"/>
        <v>9.9999999999999992E-2</v>
      </c>
      <c r="G58" s="97">
        <f t="shared" si="3"/>
        <v>9.9999999999999992E-2</v>
      </c>
      <c r="H58" s="97">
        <f t="shared" si="3"/>
        <v>9.9999999999999992E-2</v>
      </c>
      <c r="I58" s="97">
        <f t="shared" si="3"/>
        <v>9.9999999999999992E-2</v>
      </c>
      <c r="J58" s="97">
        <f t="shared" si="3"/>
        <v>9.9999999999999992E-2</v>
      </c>
      <c r="K58" s="97">
        <f t="shared" si="3"/>
        <v>9.9999999999999992E-2</v>
      </c>
      <c r="L58" s="97">
        <f t="shared" si="3"/>
        <v>9.9999999999999992E-2</v>
      </c>
      <c r="M58" s="97">
        <f t="shared" si="3"/>
        <v>9.9999999999999992E-2</v>
      </c>
      <c r="N58" s="97">
        <f t="shared" si="3"/>
        <v>9.9999999999999992E-2</v>
      </c>
      <c r="O58" s="97">
        <f t="shared" si="3"/>
        <v>9.9999999999999992E-2</v>
      </c>
      <c r="Q58" s="4" t="s">
        <v>71</v>
      </c>
      <c r="R58" s="95" t="s">
        <v>67</v>
      </c>
      <c r="S58" s="97">
        <f t="shared" ref="S58:S62" si="6">C$33</f>
        <v>0.3</v>
      </c>
      <c r="T58" s="97">
        <f t="shared" ref="T58:T62" si="7">D$33</f>
        <v>0.3</v>
      </c>
      <c r="U58" s="97">
        <f t="shared" ref="U58:U62" si="8">E$33</f>
        <v>0.3</v>
      </c>
      <c r="V58" s="97">
        <f t="shared" ref="V58:V62" si="9">F$33</f>
        <v>0.3</v>
      </c>
      <c r="W58" s="97">
        <f t="shared" ref="W58:W62" si="10">G$33</f>
        <v>0.3</v>
      </c>
      <c r="X58" s="97">
        <f t="shared" ref="X58:X62" si="11">H$33</f>
        <v>0.3</v>
      </c>
      <c r="Y58" s="97">
        <f t="shared" ref="Y58:Y62" si="12">I$33</f>
        <v>0.3</v>
      </c>
      <c r="Z58" s="97">
        <f t="shared" ref="Z58:Z62" si="13">J$33</f>
        <v>0.3</v>
      </c>
      <c r="AA58" s="97">
        <f t="shared" ref="AA58:AA62" si="14">K$33</f>
        <v>0.3</v>
      </c>
      <c r="AB58" s="97">
        <f t="shared" ref="AB58:AB62" si="15">L$33</f>
        <v>0.3</v>
      </c>
      <c r="AC58" s="97">
        <f t="shared" ref="AC58:AC62" si="16">M$33</f>
        <v>0.3</v>
      </c>
      <c r="AD58" s="97">
        <f t="shared" ref="AD58:AD62" si="17">N$33</f>
        <v>0.3</v>
      </c>
      <c r="AE58" s="97">
        <f t="shared" ref="AE58:AE62" si="18">O$33</f>
        <v>0.3</v>
      </c>
    </row>
    <row r="59" spans="1:31">
      <c r="A59" s="4" t="s">
        <v>71</v>
      </c>
      <c r="B59" s="4" t="s">
        <v>68</v>
      </c>
      <c r="C59" s="97">
        <f t="shared" si="5"/>
        <v>9.9999999999999992E-2</v>
      </c>
      <c r="D59" s="97">
        <f t="shared" si="3"/>
        <v>9.9999999999999992E-2</v>
      </c>
      <c r="E59" s="97">
        <f t="shared" si="3"/>
        <v>9.9999999999999992E-2</v>
      </c>
      <c r="F59" s="97">
        <f t="shared" si="3"/>
        <v>9.9999999999999992E-2</v>
      </c>
      <c r="G59" s="97">
        <f t="shared" si="3"/>
        <v>9.9999999999999992E-2</v>
      </c>
      <c r="H59" s="97">
        <f t="shared" si="3"/>
        <v>9.9999999999999992E-2</v>
      </c>
      <c r="I59" s="97">
        <f t="shared" si="3"/>
        <v>9.9999999999999992E-2</v>
      </c>
      <c r="J59" s="97">
        <f t="shared" si="3"/>
        <v>9.9999999999999992E-2</v>
      </c>
      <c r="K59" s="97">
        <f t="shared" si="3"/>
        <v>9.9999999999999992E-2</v>
      </c>
      <c r="L59" s="97">
        <f t="shared" si="3"/>
        <v>9.9999999999999992E-2</v>
      </c>
      <c r="M59" s="97">
        <f t="shared" si="3"/>
        <v>9.9999999999999992E-2</v>
      </c>
      <c r="N59" s="97">
        <f t="shared" si="3"/>
        <v>9.9999999999999992E-2</v>
      </c>
      <c r="O59" s="97">
        <f t="shared" si="3"/>
        <v>9.9999999999999992E-2</v>
      </c>
      <c r="Q59" s="4" t="s">
        <v>71</v>
      </c>
      <c r="R59" s="95" t="s">
        <v>68</v>
      </c>
      <c r="S59" s="97">
        <f t="shared" si="6"/>
        <v>0.3</v>
      </c>
      <c r="T59" s="97">
        <f t="shared" si="7"/>
        <v>0.3</v>
      </c>
      <c r="U59" s="97">
        <f t="shared" si="8"/>
        <v>0.3</v>
      </c>
      <c r="V59" s="97">
        <f t="shared" si="9"/>
        <v>0.3</v>
      </c>
      <c r="W59" s="97">
        <f t="shared" si="10"/>
        <v>0.3</v>
      </c>
      <c r="X59" s="97">
        <f t="shared" si="11"/>
        <v>0.3</v>
      </c>
      <c r="Y59" s="97">
        <f t="shared" si="12"/>
        <v>0.3</v>
      </c>
      <c r="Z59" s="97">
        <f t="shared" si="13"/>
        <v>0.3</v>
      </c>
      <c r="AA59" s="97">
        <f t="shared" si="14"/>
        <v>0.3</v>
      </c>
      <c r="AB59" s="97">
        <f t="shared" si="15"/>
        <v>0.3</v>
      </c>
      <c r="AC59" s="97">
        <f t="shared" si="16"/>
        <v>0.3</v>
      </c>
      <c r="AD59" s="97">
        <f t="shared" si="17"/>
        <v>0.3</v>
      </c>
      <c r="AE59" s="97">
        <f t="shared" si="18"/>
        <v>0.3</v>
      </c>
    </row>
    <row r="60" spans="1:31">
      <c r="A60" s="4" t="s">
        <v>71</v>
      </c>
      <c r="B60" s="4" t="s">
        <v>69</v>
      </c>
      <c r="C60" s="97">
        <f t="shared" si="5"/>
        <v>9.9999999999999992E-2</v>
      </c>
      <c r="D60" s="97">
        <f t="shared" si="3"/>
        <v>9.9999999999999992E-2</v>
      </c>
      <c r="E60" s="97">
        <f t="shared" si="3"/>
        <v>9.9999999999999992E-2</v>
      </c>
      <c r="F60" s="97">
        <f t="shared" si="3"/>
        <v>9.9999999999999992E-2</v>
      </c>
      <c r="G60" s="97">
        <f t="shared" si="3"/>
        <v>9.9999999999999992E-2</v>
      </c>
      <c r="H60" s="97">
        <f t="shared" si="3"/>
        <v>9.9999999999999992E-2</v>
      </c>
      <c r="I60" s="97">
        <f t="shared" si="3"/>
        <v>9.9999999999999992E-2</v>
      </c>
      <c r="J60" s="97">
        <f t="shared" si="3"/>
        <v>9.9999999999999992E-2</v>
      </c>
      <c r="K60" s="97">
        <f t="shared" si="3"/>
        <v>9.9999999999999992E-2</v>
      </c>
      <c r="L60" s="97">
        <f t="shared" si="3"/>
        <v>9.9999999999999992E-2</v>
      </c>
      <c r="M60" s="97">
        <f t="shared" si="3"/>
        <v>9.9999999999999992E-2</v>
      </c>
      <c r="N60" s="97">
        <f t="shared" si="3"/>
        <v>9.9999999999999992E-2</v>
      </c>
      <c r="O60" s="97">
        <f t="shared" si="3"/>
        <v>9.9999999999999992E-2</v>
      </c>
      <c r="Q60" s="4" t="s">
        <v>71</v>
      </c>
      <c r="R60" s="95" t="s">
        <v>69</v>
      </c>
      <c r="S60" s="97">
        <f t="shared" si="6"/>
        <v>0.3</v>
      </c>
      <c r="T60" s="97">
        <f t="shared" si="7"/>
        <v>0.3</v>
      </c>
      <c r="U60" s="97">
        <f t="shared" si="8"/>
        <v>0.3</v>
      </c>
      <c r="V60" s="97">
        <f t="shared" si="9"/>
        <v>0.3</v>
      </c>
      <c r="W60" s="97">
        <f t="shared" si="10"/>
        <v>0.3</v>
      </c>
      <c r="X60" s="97">
        <f t="shared" si="11"/>
        <v>0.3</v>
      </c>
      <c r="Y60" s="97">
        <f t="shared" si="12"/>
        <v>0.3</v>
      </c>
      <c r="Z60" s="97">
        <f t="shared" si="13"/>
        <v>0.3</v>
      </c>
      <c r="AA60" s="97">
        <f t="shared" si="14"/>
        <v>0.3</v>
      </c>
      <c r="AB60" s="97">
        <f t="shared" si="15"/>
        <v>0.3</v>
      </c>
      <c r="AC60" s="97">
        <f t="shared" si="16"/>
        <v>0.3</v>
      </c>
      <c r="AD60" s="97">
        <f t="shared" si="17"/>
        <v>0.3</v>
      </c>
      <c r="AE60" s="97">
        <f t="shared" si="18"/>
        <v>0.3</v>
      </c>
    </row>
    <row r="61" spans="1:31">
      <c r="A61" s="4" t="s">
        <v>71</v>
      </c>
      <c r="B61" s="4" t="s">
        <v>66</v>
      </c>
      <c r="C61" s="97">
        <f t="shared" si="5"/>
        <v>9.9999999999999992E-2</v>
      </c>
      <c r="D61" s="97">
        <f t="shared" si="3"/>
        <v>9.9999999999999992E-2</v>
      </c>
      <c r="E61" s="97">
        <f t="shared" si="3"/>
        <v>9.9999999999999992E-2</v>
      </c>
      <c r="F61" s="97">
        <f t="shared" si="3"/>
        <v>9.9999999999999992E-2</v>
      </c>
      <c r="G61" s="97">
        <f t="shared" si="3"/>
        <v>9.9999999999999992E-2</v>
      </c>
      <c r="H61" s="97">
        <f t="shared" si="3"/>
        <v>9.9999999999999992E-2</v>
      </c>
      <c r="I61" s="97">
        <f t="shared" si="3"/>
        <v>9.9999999999999992E-2</v>
      </c>
      <c r="J61" s="97">
        <f t="shared" si="3"/>
        <v>9.9999999999999992E-2</v>
      </c>
      <c r="K61" s="97">
        <f t="shared" si="3"/>
        <v>9.9999999999999992E-2</v>
      </c>
      <c r="L61" s="97">
        <f t="shared" si="3"/>
        <v>9.9999999999999992E-2</v>
      </c>
      <c r="M61" s="97">
        <f t="shared" si="3"/>
        <v>9.9999999999999992E-2</v>
      </c>
      <c r="N61" s="97">
        <f t="shared" si="3"/>
        <v>9.9999999999999992E-2</v>
      </c>
      <c r="O61" s="97">
        <f t="shared" si="3"/>
        <v>9.9999999999999992E-2</v>
      </c>
      <c r="Q61" s="4" t="s">
        <v>71</v>
      </c>
      <c r="R61" s="95" t="s">
        <v>66</v>
      </c>
      <c r="S61" s="97">
        <f t="shared" si="6"/>
        <v>0.3</v>
      </c>
      <c r="T61" s="97">
        <f t="shared" si="7"/>
        <v>0.3</v>
      </c>
      <c r="U61" s="97">
        <f t="shared" si="8"/>
        <v>0.3</v>
      </c>
      <c r="V61" s="97">
        <f t="shared" si="9"/>
        <v>0.3</v>
      </c>
      <c r="W61" s="97">
        <f t="shared" si="10"/>
        <v>0.3</v>
      </c>
      <c r="X61" s="97">
        <f t="shared" si="11"/>
        <v>0.3</v>
      </c>
      <c r="Y61" s="97">
        <f t="shared" si="12"/>
        <v>0.3</v>
      </c>
      <c r="Z61" s="97">
        <f t="shared" si="13"/>
        <v>0.3</v>
      </c>
      <c r="AA61" s="97">
        <f t="shared" si="14"/>
        <v>0.3</v>
      </c>
      <c r="AB61" s="97">
        <f t="shared" si="15"/>
        <v>0.3</v>
      </c>
      <c r="AC61" s="97">
        <f t="shared" si="16"/>
        <v>0.3</v>
      </c>
      <c r="AD61" s="97">
        <f t="shared" si="17"/>
        <v>0.3</v>
      </c>
      <c r="AE61" s="97">
        <f t="shared" si="18"/>
        <v>0.3</v>
      </c>
    </row>
    <row r="62" spans="1:31">
      <c r="A62" s="4" t="s">
        <v>71</v>
      </c>
      <c r="B62" s="4" t="s">
        <v>70</v>
      </c>
      <c r="C62" s="97">
        <f t="shared" si="5"/>
        <v>9.9999999999999992E-2</v>
      </c>
      <c r="D62" s="97">
        <f t="shared" si="3"/>
        <v>9.9999999999999992E-2</v>
      </c>
      <c r="E62" s="97">
        <f t="shared" si="3"/>
        <v>9.9999999999999992E-2</v>
      </c>
      <c r="F62" s="97">
        <f t="shared" si="3"/>
        <v>9.9999999999999992E-2</v>
      </c>
      <c r="G62" s="97">
        <f t="shared" si="3"/>
        <v>9.9999999999999992E-2</v>
      </c>
      <c r="H62" s="97">
        <f t="shared" si="3"/>
        <v>9.9999999999999992E-2</v>
      </c>
      <c r="I62" s="97">
        <f t="shared" si="3"/>
        <v>9.9999999999999992E-2</v>
      </c>
      <c r="J62" s="97">
        <f t="shared" si="3"/>
        <v>9.9999999999999992E-2</v>
      </c>
      <c r="K62" s="97">
        <f t="shared" si="3"/>
        <v>9.9999999999999992E-2</v>
      </c>
      <c r="L62" s="97">
        <f t="shared" si="3"/>
        <v>9.9999999999999992E-2</v>
      </c>
      <c r="M62" s="97">
        <f t="shared" si="3"/>
        <v>9.9999999999999992E-2</v>
      </c>
      <c r="N62" s="97">
        <f t="shared" si="3"/>
        <v>9.9999999999999992E-2</v>
      </c>
      <c r="O62" s="97">
        <f t="shared" si="3"/>
        <v>9.9999999999999992E-2</v>
      </c>
      <c r="Q62" s="4" t="s">
        <v>71</v>
      </c>
      <c r="R62" s="95" t="s">
        <v>70</v>
      </c>
      <c r="S62" s="97">
        <f t="shared" si="6"/>
        <v>0.3</v>
      </c>
      <c r="T62" s="97">
        <f t="shared" si="7"/>
        <v>0.3</v>
      </c>
      <c r="U62" s="97">
        <f t="shared" si="8"/>
        <v>0.3</v>
      </c>
      <c r="V62" s="97">
        <f t="shared" si="9"/>
        <v>0.3</v>
      </c>
      <c r="W62" s="97">
        <f t="shared" si="10"/>
        <v>0.3</v>
      </c>
      <c r="X62" s="97">
        <f t="shared" si="11"/>
        <v>0.3</v>
      </c>
      <c r="Y62" s="97">
        <f t="shared" si="12"/>
        <v>0.3</v>
      </c>
      <c r="Z62" s="97">
        <f t="shared" si="13"/>
        <v>0.3</v>
      </c>
      <c r="AA62" s="97">
        <f t="shared" si="14"/>
        <v>0.3</v>
      </c>
      <c r="AB62" s="97">
        <f t="shared" si="15"/>
        <v>0.3</v>
      </c>
      <c r="AC62" s="97">
        <f t="shared" si="16"/>
        <v>0.3</v>
      </c>
      <c r="AD62" s="97">
        <f t="shared" si="17"/>
        <v>0.3</v>
      </c>
      <c r="AE62" s="97">
        <f t="shared" si="18"/>
        <v>0.3</v>
      </c>
    </row>
    <row r="63" spans="1:31">
      <c r="A63" s="4" t="s">
        <v>72</v>
      </c>
      <c r="B63" s="4" t="s">
        <v>65</v>
      </c>
      <c r="C63" s="95">
        <f>preE_Tx_Cadav!C7</f>
        <v>0</v>
      </c>
      <c r="D63" s="95"/>
      <c r="E63" s="95"/>
      <c r="F63" s="95"/>
      <c r="G63" s="95"/>
      <c r="H63" s="95"/>
      <c r="I63" s="95"/>
      <c r="J63" s="95"/>
      <c r="K63" s="95"/>
      <c r="L63" s="95"/>
      <c r="M63" s="95"/>
      <c r="N63" s="95"/>
      <c r="O63" s="95"/>
      <c r="Q63" s="4" t="s">
        <v>72</v>
      </c>
      <c r="R63" s="95" t="s">
        <v>65</v>
      </c>
      <c r="S63" s="95">
        <f>preE_Tx_Live!C7</f>
        <v>0</v>
      </c>
      <c r="T63" s="2"/>
      <c r="U63" s="2"/>
      <c r="V63" s="2"/>
      <c r="W63" s="2"/>
      <c r="X63" s="2"/>
      <c r="Y63" s="2"/>
      <c r="Z63" s="2"/>
      <c r="AA63" s="2"/>
      <c r="AB63" s="2"/>
      <c r="AC63" s="2"/>
      <c r="AD63" s="2"/>
      <c r="AE63" s="2"/>
    </row>
    <row r="64" spans="1:31">
      <c r="A64" s="4" t="s">
        <v>72</v>
      </c>
      <c r="B64" s="4" t="s">
        <v>67</v>
      </c>
      <c r="C64" s="95">
        <f>preE_Tx_Cadav!C8</f>
        <v>0</v>
      </c>
      <c r="D64" s="95"/>
      <c r="E64" s="95"/>
      <c r="F64" s="95"/>
      <c r="G64" s="95"/>
      <c r="H64" s="95"/>
      <c r="I64" s="95"/>
      <c r="J64" s="95"/>
      <c r="K64" s="95"/>
      <c r="L64" s="95"/>
      <c r="M64" s="95"/>
      <c r="N64" s="95"/>
      <c r="O64" s="95"/>
      <c r="Q64" s="4" t="s">
        <v>72</v>
      </c>
      <c r="R64" s="95" t="s">
        <v>67</v>
      </c>
      <c r="S64" s="95">
        <f>preE_Tx_Live!C8</f>
        <v>0</v>
      </c>
      <c r="T64" s="2"/>
      <c r="U64" s="2"/>
      <c r="V64" s="2"/>
      <c r="W64" s="2"/>
      <c r="X64" s="2"/>
      <c r="Y64" s="2"/>
      <c r="Z64" s="2"/>
      <c r="AA64" s="2"/>
      <c r="AB64" s="2"/>
      <c r="AC64" s="2"/>
      <c r="AD64" s="2"/>
      <c r="AE64" s="2"/>
    </row>
    <row r="65" spans="1:44">
      <c r="A65" s="4" t="s">
        <v>72</v>
      </c>
      <c r="B65" s="4" t="s">
        <v>68</v>
      </c>
      <c r="C65" s="95">
        <f>preE_Tx_Cadav!C9</f>
        <v>0</v>
      </c>
      <c r="D65" s="95"/>
      <c r="E65" s="95"/>
      <c r="F65" s="95"/>
      <c r="G65" s="95"/>
      <c r="H65" s="95"/>
      <c r="I65" s="95"/>
      <c r="J65" s="95"/>
      <c r="K65" s="95"/>
      <c r="L65" s="95"/>
      <c r="M65" s="95"/>
      <c r="N65" s="95"/>
      <c r="O65" s="95"/>
      <c r="Q65" s="4" t="s">
        <v>72</v>
      </c>
      <c r="R65" s="95" t="s">
        <v>68</v>
      </c>
      <c r="S65" s="95">
        <f>preE_Tx_Live!C9</f>
        <v>0</v>
      </c>
      <c r="T65" s="2"/>
      <c r="U65" s="2"/>
      <c r="V65" s="2"/>
      <c r="W65" s="2"/>
      <c r="X65" s="2"/>
      <c r="Y65" s="2"/>
      <c r="Z65" s="2"/>
      <c r="AA65" s="2"/>
      <c r="AB65" s="2"/>
      <c r="AC65" s="2"/>
      <c r="AD65" s="2"/>
      <c r="AE65" s="2"/>
    </row>
    <row r="66" spans="1:44">
      <c r="A66" s="4" t="s">
        <v>72</v>
      </c>
      <c r="B66" s="4" t="s">
        <v>69</v>
      </c>
      <c r="C66" s="95">
        <f>preE_Tx_Cadav!C10</f>
        <v>0</v>
      </c>
      <c r="D66" s="95"/>
      <c r="E66" s="95"/>
      <c r="F66" s="95"/>
      <c r="G66" s="95"/>
      <c r="H66" s="95"/>
      <c r="I66" s="95"/>
      <c r="J66" s="95"/>
      <c r="K66" s="95"/>
      <c r="L66" s="95"/>
      <c r="M66" s="95"/>
      <c r="N66" s="95"/>
      <c r="O66" s="95"/>
      <c r="Q66" s="4" t="s">
        <v>72</v>
      </c>
      <c r="R66" s="95" t="s">
        <v>69</v>
      </c>
      <c r="S66" s="95">
        <f>preE_Tx_Live!C10</f>
        <v>0</v>
      </c>
      <c r="T66" s="2"/>
      <c r="U66" s="2"/>
      <c r="V66" s="2"/>
      <c r="W66" s="2"/>
      <c r="X66" s="2"/>
      <c r="Y66" s="2"/>
      <c r="Z66" s="2"/>
      <c r="AA66" s="2"/>
      <c r="AB66" s="2"/>
      <c r="AC66" s="2"/>
      <c r="AD66" s="2"/>
      <c r="AE66" s="2"/>
    </row>
    <row r="67" spans="1:44">
      <c r="A67" s="4" t="s">
        <v>72</v>
      </c>
      <c r="B67" s="4" t="s">
        <v>66</v>
      </c>
      <c r="C67" s="95">
        <f>preE_Tx_Cadav!C11</f>
        <v>0</v>
      </c>
      <c r="D67" s="95"/>
      <c r="E67" s="95"/>
      <c r="F67" s="95"/>
      <c r="G67" s="95"/>
      <c r="H67" s="95"/>
      <c r="I67" s="95"/>
      <c r="J67" s="95"/>
      <c r="K67" s="95"/>
      <c r="L67" s="95"/>
      <c r="M67" s="95"/>
      <c r="N67" s="95"/>
      <c r="O67" s="95"/>
      <c r="Q67" s="4" t="s">
        <v>72</v>
      </c>
      <c r="R67" s="95" t="s">
        <v>66</v>
      </c>
      <c r="S67" s="95">
        <f>preE_Tx_Live!C11</f>
        <v>0</v>
      </c>
      <c r="T67" s="2"/>
      <c r="U67" s="2"/>
      <c r="V67" s="2"/>
      <c r="W67" s="2"/>
      <c r="X67" s="2"/>
      <c r="Y67" s="2"/>
      <c r="Z67" s="2"/>
      <c r="AA67" s="2"/>
      <c r="AB67" s="2"/>
      <c r="AC67" s="2"/>
      <c r="AD67" s="2"/>
      <c r="AE67" s="2"/>
    </row>
    <row r="68" spans="1:44">
      <c r="A68" s="4" t="s">
        <v>72</v>
      </c>
      <c r="B68" s="4" t="s">
        <v>70</v>
      </c>
      <c r="C68" s="95">
        <f>preE_Tx_Cadav!C12</f>
        <v>0</v>
      </c>
      <c r="D68" s="95"/>
      <c r="E68" s="95"/>
      <c r="F68" s="95"/>
      <c r="G68" s="95"/>
      <c r="H68" s="95"/>
      <c r="I68" s="95"/>
      <c r="J68" s="95"/>
      <c r="K68" s="95"/>
      <c r="L68" s="95"/>
      <c r="M68" s="95"/>
      <c r="N68" s="95"/>
      <c r="O68" s="95"/>
      <c r="Q68" s="4" t="s">
        <v>72</v>
      </c>
      <c r="R68" s="95" t="s">
        <v>70</v>
      </c>
      <c r="S68" s="95">
        <f>preE_Tx_Live!C12</f>
        <v>0</v>
      </c>
      <c r="T68" s="2"/>
      <c r="U68" s="2"/>
      <c r="V68" s="2"/>
      <c r="W68" s="2"/>
      <c r="X68" s="2"/>
      <c r="Y68" s="2"/>
      <c r="Z68" s="2"/>
      <c r="AA68" s="2"/>
      <c r="AB68" s="2"/>
      <c r="AC68" s="2"/>
      <c r="AD68" s="2"/>
      <c r="AE68" s="2"/>
    </row>
    <row r="69" spans="1:44">
      <c r="A69" s="4" t="s">
        <v>109</v>
      </c>
      <c r="B69" s="154" t="s">
        <v>110</v>
      </c>
      <c r="C69" s="154"/>
      <c r="D69" s="154"/>
      <c r="E69" s="154"/>
      <c r="F69" s="155">
        <v>1</v>
      </c>
      <c r="G69" s="155"/>
      <c r="H69" s="155"/>
      <c r="I69" s="155">
        <v>2</v>
      </c>
      <c r="J69" s="155"/>
      <c r="K69" s="155"/>
      <c r="L69" s="155">
        <v>3</v>
      </c>
      <c r="M69" s="155"/>
      <c r="N69" s="155"/>
      <c r="O69" s="155">
        <v>4</v>
      </c>
      <c r="P69" s="155"/>
      <c r="Q69" s="155"/>
      <c r="R69" s="155">
        <v>5</v>
      </c>
      <c r="S69" s="155"/>
      <c r="T69" s="155"/>
      <c r="U69" s="155">
        <v>6</v>
      </c>
      <c r="V69" s="155"/>
      <c r="W69" s="155"/>
      <c r="X69" s="155">
        <v>7</v>
      </c>
      <c r="Y69" s="155"/>
      <c r="Z69" s="155"/>
      <c r="AA69" s="155">
        <v>8</v>
      </c>
      <c r="AB69" s="155"/>
      <c r="AC69" s="155"/>
      <c r="AD69" s="155">
        <v>9</v>
      </c>
      <c r="AE69" s="155"/>
      <c r="AF69" s="155"/>
      <c r="AG69" s="155">
        <v>10</v>
      </c>
      <c r="AH69" s="155"/>
      <c r="AI69" s="155"/>
      <c r="AJ69" s="155">
        <v>11</v>
      </c>
      <c r="AK69" s="155"/>
      <c r="AL69" s="155"/>
      <c r="AM69" s="155">
        <v>12</v>
      </c>
      <c r="AN69" s="155"/>
      <c r="AO69" s="155"/>
      <c r="AP69" s="155">
        <v>13</v>
      </c>
      <c r="AQ69" s="155"/>
      <c r="AR69" s="155"/>
    </row>
    <row r="70" spans="1:44">
      <c r="C70" t="s">
        <v>144</v>
      </c>
      <c r="D70" t="s">
        <v>145</v>
      </c>
      <c r="E70" t="s">
        <v>146</v>
      </c>
      <c r="F70" t="s">
        <v>144</v>
      </c>
      <c r="G70" t="s">
        <v>145</v>
      </c>
      <c r="H70" t="s">
        <v>146</v>
      </c>
      <c r="I70" t="s">
        <v>144</v>
      </c>
      <c r="J70" t="s">
        <v>145</v>
      </c>
      <c r="K70" t="s">
        <v>146</v>
      </c>
      <c r="L70" t="s">
        <v>144</v>
      </c>
      <c r="M70" t="s">
        <v>145</v>
      </c>
      <c r="N70" t="s">
        <v>146</v>
      </c>
      <c r="O70" t="s">
        <v>144</v>
      </c>
      <c r="P70" t="s">
        <v>145</v>
      </c>
      <c r="Q70" t="s">
        <v>146</v>
      </c>
      <c r="R70" t="s">
        <v>144</v>
      </c>
      <c r="S70" t="s">
        <v>145</v>
      </c>
      <c r="T70" t="s">
        <v>146</v>
      </c>
      <c r="U70" t="s">
        <v>144</v>
      </c>
      <c r="V70" t="s">
        <v>145</v>
      </c>
      <c r="W70" t="s">
        <v>146</v>
      </c>
      <c r="X70" t="s">
        <v>144</v>
      </c>
      <c r="Y70" t="s">
        <v>145</v>
      </c>
      <c r="Z70" t="s">
        <v>146</v>
      </c>
      <c r="AA70" t="s">
        <v>144</v>
      </c>
      <c r="AB70" t="s">
        <v>145</v>
      </c>
      <c r="AC70" t="s">
        <v>146</v>
      </c>
      <c r="AD70" t="s">
        <v>144</v>
      </c>
      <c r="AE70" t="s">
        <v>145</v>
      </c>
      <c r="AF70" t="s">
        <v>146</v>
      </c>
      <c r="AG70" t="s">
        <v>144</v>
      </c>
      <c r="AH70" t="s">
        <v>145</v>
      </c>
      <c r="AI70" t="s">
        <v>146</v>
      </c>
      <c r="AJ70" t="s">
        <v>144</v>
      </c>
      <c r="AK70" t="s">
        <v>145</v>
      </c>
      <c r="AL70" t="s">
        <v>146</v>
      </c>
      <c r="AM70" t="s">
        <v>144</v>
      </c>
      <c r="AN70" t="s">
        <v>145</v>
      </c>
      <c r="AO70" t="s">
        <v>146</v>
      </c>
      <c r="AP70" t="s">
        <v>144</v>
      </c>
      <c r="AQ70" t="s">
        <v>145</v>
      </c>
      <c r="AR70" t="s">
        <v>146</v>
      </c>
    </row>
    <row r="71" spans="1:44">
      <c r="A71" s="4" t="s">
        <v>105</v>
      </c>
      <c r="B71" s="4">
        <v>1</v>
      </c>
      <c r="C71" s="97">
        <f>modAllocation!C1</f>
        <v>0.69</v>
      </c>
      <c r="D71" s="97">
        <f>modAllocation!D1</f>
        <v>0.02</v>
      </c>
      <c r="E71" s="97">
        <f>modAllocation!E1</f>
        <v>0.28999999999999998</v>
      </c>
      <c r="F71" s="96">
        <f>1-SUM(G71:H71)</f>
        <v>0.69</v>
      </c>
      <c r="G71" s="96">
        <f>$B$16</f>
        <v>0.02</v>
      </c>
      <c r="H71" s="96">
        <f>$B$17</f>
        <v>0.28999999999999998</v>
      </c>
      <c r="I71" s="96">
        <f>1-SUM(J71:K71)</f>
        <v>0.69</v>
      </c>
      <c r="J71" s="96">
        <f>$C$16</f>
        <v>0.02</v>
      </c>
      <c r="K71" s="96">
        <f>$C$17</f>
        <v>0.28999999999999998</v>
      </c>
      <c r="L71" s="96">
        <f>1-SUM(M71:N71)</f>
        <v>0.69</v>
      </c>
      <c r="M71" s="96">
        <f>$D$16</f>
        <v>0.02</v>
      </c>
      <c r="N71" s="96">
        <f>$D$17</f>
        <v>0.28999999999999998</v>
      </c>
      <c r="O71" s="96">
        <f>1-SUM(P71:Q71)</f>
        <v>0.69</v>
      </c>
      <c r="P71" s="96">
        <f>$E$16</f>
        <v>0.02</v>
      </c>
      <c r="Q71" s="96">
        <f>$E$17</f>
        <v>0.28999999999999998</v>
      </c>
      <c r="R71" s="96">
        <f>1-SUM(S71:T71)</f>
        <v>0.69</v>
      </c>
      <c r="S71" s="97">
        <f>$F$16</f>
        <v>0.02</v>
      </c>
      <c r="T71" s="96">
        <f>$F$17</f>
        <v>0.28999999999999998</v>
      </c>
      <c r="U71" s="96">
        <f>1-SUM(V71:W71)</f>
        <v>0.69</v>
      </c>
      <c r="V71" s="96">
        <f>$G$16</f>
        <v>0.02</v>
      </c>
      <c r="W71" s="96">
        <f>$G$17</f>
        <v>0.28999999999999998</v>
      </c>
      <c r="X71" s="96">
        <f>1-SUM(Y71:Z71)</f>
        <v>0.69</v>
      </c>
      <c r="Y71" s="96">
        <f>$H$16</f>
        <v>0.02</v>
      </c>
      <c r="Z71" s="96">
        <f>$H$17</f>
        <v>0.28999999999999998</v>
      </c>
      <c r="AA71" s="96">
        <f>1-SUM(AB71:AC71)</f>
        <v>0.69</v>
      </c>
      <c r="AB71" s="96">
        <f>$I$16</f>
        <v>0.02</v>
      </c>
      <c r="AC71" s="96">
        <f>$I$17</f>
        <v>0.28999999999999998</v>
      </c>
      <c r="AD71" s="96">
        <f>1-SUM(AE71:AF71)</f>
        <v>0.69</v>
      </c>
      <c r="AE71" s="96">
        <f>$J$16</f>
        <v>0.02</v>
      </c>
      <c r="AF71" s="96">
        <f>$J$17</f>
        <v>0.28999999999999998</v>
      </c>
      <c r="AG71" s="96">
        <f>1-SUM(AH71:AI71)</f>
        <v>0.69</v>
      </c>
      <c r="AH71" s="96">
        <f>$K$16</f>
        <v>0.02</v>
      </c>
      <c r="AI71" s="96">
        <f>$K$17</f>
        <v>0.28999999999999998</v>
      </c>
      <c r="AJ71" s="96">
        <f>1-SUM(AK71:AL71)</f>
        <v>0.69</v>
      </c>
      <c r="AK71" s="96">
        <f>$L$16</f>
        <v>0.02</v>
      </c>
      <c r="AL71" s="96">
        <f>$L$17</f>
        <v>0.28999999999999998</v>
      </c>
      <c r="AM71" s="96">
        <f>1-SUM(AN71:AO71)</f>
        <v>0.69</v>
      </c>
      <c r="AN71" s="96">
        <f>$M$16</f>
        <v>0.02</v>
      </c>
      <c r="AO71" s="96">
        <f>$M$17</f>
        <v>0.28999999999999998</v>
      </c>
      <c r="AP71" s="96">
        <f>1-SUM(AQ71:AR71)</f>
        <v>0.69</v>
      </c>
      <c r="AQ71" s="96">
        <f>$N$16</f>
        <v>0.02</v>
      </c>
      <c r="AR71" s="96">
        <f>$N$17</f>
        <v>0.28999999999999998</v>
      </c>
    </row>
    <row r="72" spans="1:44">
      <c r="A72" s="4" t="s">
        <v>105</v>
      </c>
      <c r="B72" s="4">
        <v>2</v>
      </c>
      <c r="C72" s="97">
        <f>modAllocation!C2</f>
        <v>0.69</v>
      </c>
      <c r="D72" s="97">
        <f>modAllocation!D2</f>
        <v>0.02</v>
      </c>
      <c r="E72" s="97">
        <f>modAllocation!E2</f>
        <v>0.28999999999999998</v>
      </c>
      <c r="F72" s="96">
        <f t="shared" ref="F72:F76" si="19">1-SUM(G72:H72)</f>
        <v>0.69</v>
      </c>
      <c r="G72" s="96">
        <f t="shared" ref="G72:G76" si="20">$B$16</f>
        <v>0.02</v>
      </c>
      <c r="H72" s="96">
        <f t="shared" ref="H72:H76" si="21">$B$17</f>
        <v>0.28999999999999998</v>
      </c>
      <c r="I72" s="96">
        <f t="shared" ref="I72:I76" si="22">1-SUM(J72:K72)</f>
        <v>0.69</v>
      </c>
      <c r="J72" s="96">
        <f t="shared" ref="J72:J76" si="23">$C$16</f>
        <v>0.02</v>
      </c>
      <c r="K72" s="96">
        <f t="shared" ref="K72:K76" si="24">$C$17</f>
        <v>0.28999999999999998</v>
      </c>
      <c r="L72" s="96">
        <f t="shared" ref="L72:L76" si="25">1-SUM(M72:N72)</f>
        <v>0.69</v>
      </c>
      <c r="M72" s="96">
        <f t="shared" ref="M72:M76" si="26">$D$16</f>
        <v>0.02</v>
      </c>
      <c r="N72" s="96">
        <f t="shared" ref="N72:N76" si="27">$D$17</f>
        <v>0.28999999999999998</v>
      </c>
      <c r="O72" s="96">
        <f t="shared" ref="O72:O76" si="28">1-SUM(P72:Q72)</f>
        <v>0.69</v>
      </c>
      <c r="P72" s="96">
        <f t="shared" ref="P72:P76" si="29">$E$16</f>
        <v>0.02</v>
      </c>
      <c r="Q72" s="96">
        <f t="shared" ref="Q72:Q76" si="30">$E$17</f>
        <v>0.28999999999999998</v>
      </c>
      <c r="R72" s="96">
        <f t="shared" ref="R72:R76" si="31">1-SUM(S72:T72)</f>
        <v>0.69</v>
      </c>
      <c r="S72" s="97">
        <f t="shared" ref="S72:S76" si="32">$F$16</f>
        <v>0.02</v>
      </c>
      <c r="T72" s="96">
        <f t="shared" ref="T72:T76" si="33">$F$17</f>
        <v>0.28999999999999998</v>
      </c>
      <c r="U72" s="96">
        <f t="shared" ref="U72:U76" si="34">1-SUM(V72:W72)</f>
        <v>0.69</v>
      </c>
      <c r="V72" s="96">
        <f t="shared" ref="V72:V76" si="35">$G$16</f>
        <v>0.02</v>
      </c>
      <c r="W72" s="96">
        <f t="shared" ref="W72:W76" si="36">$G$17</f>
        <v>0.28999999999999998</v>
      </c>
      <c r="X72" s="96">
        <f t="shared" ref="X72:X76" si="37">1-SUM(Y72:Z72)</f>
        <v>0.69</v>
      </c>
      <c r="Y72" s="96">
        <f t="shared" ref="Y72:Y76" si="38">$H$16</f>
        <v>0.02</v>
      </c>
      <c r="Z72" s="96">
        <f t="shared" ref="Z72:Z76" si="39">$H$17</f>
        <v>0.28999999999999998</v>
      </c>
      <c r="AA72" s="96">
        <f t="shared" ref="AA72:AA76" si="40">1-SUM(AB72:AC72)</f>
        <v>0.69</v>
      </c>
      <c r="AB72" s="96">
        <f t="shared" ref="AB72:AB76" si="41">$I$16</f>
        <v>0.02</v>
      </c>
      <c r="AC72" s="96">
        <f t="shared" ref="AC72:AC76" si="42">$I$17</f>
        <v>0.28999999999999998</v>
      </c>
      <c r="AD72" s="96">
        <f t="shared" ref="AD72:AD76" si="43">1-SUM(AE72:AF72)</f>
        <v>0.69</v>
      </c>
      <c r="AE72" s="96">
        <f t="shared" ref="AE72:AE76" si="44">$J$16</f>
        <v>0.02</v>
      </c>
      <c r="AF72" s="96">
        <f t="shared" ref="AF72:AF76" si="45">$J$17</f>
        <v>0.28999999999999998</v>
      </c>
      <c r="AG72" s="96">
        <f t="shared" ref="AG72:AG76" si="46">1-SUM(AH72:AI72)</f>
        <v>0.69</v>
      </c>
      <c r="AH72" s="96">
        <f t="shared" ref="AH72:AH76" si="47">$K$16</f>
        <v>0.02</v>
      </c>
      <c r="AI72" s="96">
        <f t="shared" ref="AI72:AI76" si="48">$K$17</f>
        <v>0.28999999999999998</v>
      </c>
      <c r="AJ72" s="96">
        <f t="shared" ref="AJ72:AJ76" si="49">1-SUM(AK72:AL72)</f>
        <v>0.69</v>
      </c>
      <c r="AK72" s="96">
        <f t="shared" ref="AK72:AK76" si="50">$L$16</f>
        <v>0.02</v>
      </c>
      <c r="AL72" s="96">
        <f t="shared" ref="AL72:AL76" si="51">$L$17</f>
        <v>0.28999999999999998</v>
      </c>
      <c r="AM72" s="96">
        <f t="shared" ref="AM72:AM76" si="52">1-SUM(AN72:AO72)</f>
        <v>0.69</v>
      </c>
      <c r="AN72" s="96">
        <f t="shared" ref="AN72:AN76" si="53">$M$16</f>
        <v>0.02</v>
      </c>
      <c r="AO72" s="96">
        <f t="shared" ref="AO72:AO76" si="54">$M$17</f>
        <v>0.28999999999999998</v>
      </c>
      <c r="AP72" s="96">
        <f t="shared" ref="AP72:AP76" si="55">1-SUM(AQ72:AR72)</f>
        <v>0.69</v>
      </c>
      <c r="AQ72" s="96">
        <f t="shared" ref="AQ72:AQ76" si="56">$N$16</f>
        <v>0.02</v>
      </c>
      <c r="AR72" s="96">
        <f t="shared" ref="AR72:AR76" si="57">$N$17</f>
        <v>0.28999999999999998</v>
      </c>
    </row>
    <row r="73" spans="1:44">
      <c r="A73" s="4" t="s">
        <v>105</v>
      </c>
      <c r="B73" s="4">
        <v>3</v>
      </c>
      <c r="C73" s="97">
        <f>modAllocation!C3</f>
        <v>0.69</v>
      </c>
      <c r="D73" s="97">
        <f>modAllocation!D3</f>
        <v>0.02</v>
      </c>
      <c r="E73" s="97">
        <f>modAllocation!E3</f>
        <v>0.28999999999999998</v>
      </c>
      <c r="F73" s="96">
        <f t="shared" si="19"/>
        <v>0.69</v>
      </c>
      <c r="G73" s="96">
        <f t="shared" si="20"/>
        <v>0.02</v>
      </c>
      <c r="H73" s="96">
        <f t="shared" si="21"/>
        <v>0.28999999999999998</v>
      </c>
      <c r="I73" s="96">
        <f t="shared" si="22"/>
        <v>0.69</v>
      </c>
      <c r="J73" s="96">
        <f t="shared" si="23"/>
        <v>0.02</v>
      </c>
      <c r="K73" s="96">
        <f t="shared" si="24"/>
        <v>0.28999999999999998</v>
      </c>
      <c r="L73" s="96">
        <f t="shared" si="25"/>
        <v>0.69</v>
      </c>
      <c r="M73" s="96">
        <f t="shared" si="26"/>
        <v>0.02</v>
      </c>
      <c r="N73" s="96">
        <f t="shared" si="27"/>
        <v>0.28999999999999998</v>
      </c>
      <c r="O73" s="96">
        <f t="shared" si="28"/>
        <v>0.69</v>
      </c>
      <c r="P73" s="96">
        <f t="shared" si="29"/>
        <v>0.02</v>
      </c>
      <c r="Q73" s="96">
        <f t="shared" si="30"/>
        <v>0.28999999999999998</v>
      </c>
      <c r="R73" s="96">
        <f t="shared" si="31"/>
        <v>0.69</v>
      </c>
      <c r="S73" s="97">
        <f t="shared" si="32"/>
        <v>0.02</v>
      </c>
      <c r="T73" s="96">
        <f t="shared" si="33"/>
        <v>0.28999999999999998</v>
      </c>
      <c r="U73" s="96">
        <f t="shared" si="34"/>
        <v>0.69</v>
      </c>
      <c r="V73" s="96">
        <f t="shared" si="35"/>
        <v>0.02</v>
      </c>
      <c r="W73" s="96">
        <f t="shared" si="36"/>
        <v>0.28999999999999998</v>
      </c>
      <c r="X73" s="96">
        <f t="shared" si="37"/>
        <v>0.69</v>
      </c>
      <c r="Y73" s="96">
        <f t="shared" si="38"/>
        <v>0.02</v>
      </c>
      <c r="Z73" s="96">
        <f t="shared" si="39"/>
        <v>0.28999999999999998</v>
      </c>
      <c r="AA73" s="96">
        <f t="shared" si="40"/>
        <v>0.69</v>
      </c>
      <c r="AB73" s="96">
        <f t="shared" si="41"/>
        <v>0.02</v>
      </c>
      <c r="AC73" s="96">
        <f t="shared" si="42"/>
        <v>0.28999999999999998</v>
      </c>
      <c r="AD73" s="96">
        <f t="shared" si="43"/>
        <v>0.69</v>
      </c>
      <c r="AE73" s="96">
        <f t="shared" si="44"/>
        <v>0.02</v>
      </c>
      <c r="AF73" s="96">
        <f t="shared" si="45"/>
        <v>0.28999999999999998</v>
      </c>
      <c r="AG73" s="96">
        <f t="shared" si="46"/>
        <v>0.69</v>
      </c>
      <c r="AH73" s="96">
        <f t="shared" si="47"/>
        <v>0.02</v>
      </c>
      <c r="AI73" s="96">
        <f t="shared" si="48"/>
        <v>0.28999999999999998</v>
      </c>
      <c r="AJ73" s="96">
        <f t="shared" si="49"/>
        <v>0.69</v>
      </c>
      <c r="AK73" s="96">
        <f t="shared" si="50"/>
        <v>0.02</v>
      </c>
      <c r="AL73" s="96">
        <f t="shared" si="51"/>
        <v>0.28999999999999998</v>
      </c>
      <c r="AM73" s="96">
        <f t="shared" si="52"/>
        <v>0.69</v>
      </c>
      <c r="AN73" s="96">
        <f t="shared" si="53"/>
        <v>0.02</v>
      </c>
      <c r="AO73" s="96">
        <f t="shared" si="54"/>
        <v>0.28999999999999998</v>
      </c>
      <c r="AP73" s="96">
        <f t="shared" si="55"/>
        <v>0.69</v>
      </c>
      <c r="AQ73" s="96">
        <f t="shared" si="56"/>
        <v>0.02</v>
      </c>
      <c r="AR73" s="96">
        <f t="shared" si="57"/>
        <v>0.28999999999999998</v>
      </c>
    </row>
    <row r="74" spans="1:44">
      <c r="A74" s="4" t="s">
        <v>105</v>
      </c>
      <c r="B74" s="4">
        <v>4</v>
      </c>
      <c r="C74" s="97">
        <f>modAllocation!C4</f>
        <v>0.69</v>
      </c>
      <c r="D74" s="97">
        <f>modAllocation!D4</f>
        <v>0.02</v>
      </c>
      <c r="E74" s="97">
        <f>modAllocation!E4</f>
        <v>0.28999999999999998</v>
      </c>
      <c r="F74" s="96">
        <f t="shared" si="19"/>
        <v>0.69</v>
      </c>
      <c r="G74" s="96">
        <f t="shared" si="20"/>
        <v>0.02</v>
      </c>
      <c r="H74" s="96">
        <f t="shared" si="21"/>
        <v>0.28999999999999998</v>
      </c>
      <c r="I74" s="96">
        <f t="shared" si="22"/>
        <v>0.69</v>
      </c>
      <c r="J74" s="96">
        <f t="shared" si="23"/>
        <v>0.02</v>
      </c>
      <c r="K74" s="96">
        <f t="shared" si="24"/>
        <v>0.28999999999999998</v>
      </c>
      <c r="L74" s="96">
        <f t="shared" si="25"/>
        <v>0.69</v>
      </c>
      <c r="M74" s="96">
        <f t="shared" si="26"/>
        <v>0.02</v>
      </c>
      <c r="N74" s="96">
        <f t="shared" si="27"/>
        <v>0.28999999999999998</v>
      </c>
      <c r="O74" s="96">
        <f t="shared" si="28"/>
        <v>0.69</v>
      </c>
      <c r="P74" s="96">
        <f t="shared" si="29"/>
        <v>0.02</v>
      </c>
      <c r="Q74" s="96">
        <f t="shared" si="30"/>
        <v>0.28999999999999998</v>
      </c>
      <c r="R74" s="96">
        <f t="shared" si="31"/>
        <v>0.69</v>
      </c>
      <c r="S74" s="97">
        <f t="shared" si="32"/>
        <v>0.02</v>
      </c>
      <c r="T74" s="96">
        <f t="shared" si="33"/>
        <v>0.28999999999999998</v>
      </c>
      <c r="U74" s="96">
        <f t="shared" si="34"/>
        <v>0.69</v>
      </c>
      <c r="V74" s="96">
        <f t="shared" si="35"/>
        <v>0.02</v>
      </c>
      <c r="W74" s="96">
        <f t="shared" si="36"/>
        <v>0.28999999999999998</v>
      </c>
      <c r="X74" s="96">
        <f t="shared" si="37"/>
        <v>0.69</v>
      </c>
      <c r="Y74" s="96">
        <f t="shared" si="38"/>
        <v>0.02</v>
      </c>
      <c r="Z74" s="96">
        <f t="shared" si="39"/>
        <v>0.28999999999999998</v>
      </c>
      <c r="AA74" s="96">
        <f t="shared" si="40"/>
        <v>0.69</v>
      </c>
      <c r="AB74" s="96">
        <f t="shared" si="41"/>
        <v>0.02</v>
      </c>
      <c r="AC74" s="96">
        <f t="shared" si="42"/>
        <v>0.28999999999999998</v>
      </c>
      <c r="AD74" s="96">
        <f t="shared" si="43"/>
        <v>0.69</v>
      </c>
      <c r="AE74" s="96">
        <f t="shared" si="44"/>
        <v>0.02</v>
      </c>
      <c r="AF74" s="96">
        <f t="shared" si="45"/>
        <v>0.28999999999999998</v>
      </c>
      <c r="AG74" s="96">
        <f t="shared" si="46"/>
        <v>0.69</v>
      </c>
      <c r="AH74" s="96">
        <f t="shared" si="47"/>
        <v>0.02</v>
      </c>
      <c r="AI74" s="96">
        <f t="shared" si="48"/>
        <v>0.28999999999999998</v>
      </c>
      <c r="AJ74" s="96">
        <f t="shared" si="49"/>
        <v>0.69</v>
      </c>
      <c r="AK74" s="96">
        <f t="shared" si="50"/>
        <v>0.02</v>
      </c>
      <c r="AL74" s="96">
        <f t="shared" si="51"/>
        <v>0.28999999999999998</v>
      </c>
      <c r="AM74" s="96">
        <f t="shared" si="52"/>
        <v>0.69</v>
      </c>
      <c r="AN74" s="96">
        <f t="shared" si="53"/>
        <v>0.02</v>
      </c>
      <c r="AO74" s="96">
        <f t="shared" si="54"/>
        <v>0.28999999999999998</v>
      </c>
      <c r="AP74" s="96">
        <f t="shared" si="55"/>
        <v>0.69</v>
      </c>
      <c r="AQ74" s="96">
        <f t="shared" si="56"/>
        <v>0.02</v>
      </c>
      <c r="AR74" s="96">
        <f t="shared" si="57"/>
        <v>0.28999999999999998</v>
      </c>
    </row>
    <row r="75" spans="1:44">
      <c r="A75" s="4" t="s">
        <v>105</v>
      </c>
      <c r="B75" s="4">
        <v>5</v>
      </c>
      <c r="C75" s="97">
        <f>modAllocation!C5</f>
        <v>0.69</v>
      </c>
      <c r="D75" s="97">
        <f>modAllocation!D5</f>
        <v>0.02</v>
      </c>
      <c r="E75" s="97">
        <f>modAllocation!E5</f>
        <v>0.28999999999999998</v>
      </c>
      <c r="F75" s="96">
        <f t="shared" si="19"/>
        <v>0.69</v>
      </c>
      <c r="G75" s="96">
        <f t="shared" si="20"/>
        <v>0.02</v>
      </c>
      <c r="H75" s="96">
        <f t="shared" si="21"/>
        <v>0.28999999999999998</v>
      </c>
      <c r="I75" s="96">
        <f t="shared" si="22"/>
        <v>0.69</v>
      </c>
      <c r="J75" s="96">
        <f t="shared" si="23"/>
        <v>0.02</v>
      </c>
      <c r="K75" s="96">
        <f t="shared" si="24"/>
        <v>0.28999999999999998</v>
      </c>
      <c r="L75" s="96">
        <f t="shared" si="25"/>
        <v>0.69</v>
      </c>
      <c r="M75" s="96">
        <f t="shared" si="26"/>
        <v>0.02</v>
      </c>
      <c r="N75" s="96">
        <f t="shared" si="27"/>
        <v>0.28999999999999998</v>
      </c>
      <c r="O75" s="96">
        <f t="shared" si="28"/>
        <v>0.69</v>
      </c>
      <c r="P75" s="96">
        <f t="shared" si="29"/>
        <v>0.02</v>
      </c>
      <c r="Q75" s="96">
        <f t="shared" si="30"/>
        <v>0.28999999999999998</v>
      </c>
      <c r="R75" s="96">
        <f t="shared" si="31"/>
        <v>0.69</v>
      </c>
      <c r="S75" s="97">
        <f t="shared" si="32"/>
        <v>0.02</v>
      </c>
      <c r="T75" s="96">
        <f t="shared" si="33"/>
        <v>0.28999999999999998</v>
      </c>
      <c r="U75" s="96">
        <f t="shared" si="34"/>
        <v>0.69</v>
      </c>
      <c r="V75" s="96">
        <f t="shared" si="35"/>
        <v>0.02</v>
      </c>
      <c r="W75" s="96">
        <f t="shared" si="36"/>
        <v>0.28999999999999998</v>
      </c>
      <c r="X75" s="96">
        <f t="shared" si="37"/>
        <v>0.69</v>
      </c>
      <c r="Y75" s="96">
        <f t="shared" si="38"/>
        <v>0.02</v>
      </c>
      <c r="Z75" s="96">
        <f t="shared" si="39"/>
        <v>0.28999999999999998</v>
      </c>
      <c r="AA75" s="96">
        <f t="shared" si="40"/>
        <v>0.69</v>
      </c>
      <c r="AB75" s="96">
        <f t="shared" si="41"/>
        <v>0.02</v>
      </c>
      <c r="AC75" s="96">
        <f t="shared" si="42"/>
        <v>0.28999999999999998</v>
      </c>
      <c r="AD75" s="96">
        <f t="shared" si="43"/>
        <v>0.69</v>
      </c>
      <c r="AE75" s="96">
        <f t="shared" si="44"/>
        <v>0.02</v>
      </c>
      <c r="AF75" s="96">
        <f t="shared" si="45"/>
        <v>0.28999999999999998</v>
      </c>
      <c r="AG75" s="96">
        <f t="shared" si="46"/>
        <v>0.69</v>
      </c>
      <c r="AH75" s="96">
        <f t="shared" si="47"/>
        <v>0.02</v>
      </c>
      <c r="AI75" s="96">
        <f t="shared" si="48"/>
        <v>0.28999999999999998</v>
      </c>
      <c r="AJ75" s="96">
        <f t="shared" si="49"/>
        <v>0.69</v>
      </c>
      <c r="AK75" s="96">
        <f t="shared" si="50"/>
        <v>0.02</v>
      </c>
      <c r="AL75" s="96">
        <f t="shared" si="51"/>
        <v>0.28999999999999998</v>
      </c>
      <c r="AM75" s="96">
        <f t="shared" si="52"/>
        <v>0.69</v>
      </c>
      <c r="AN75" s="96">
        <f t="shared" si="53"/>
        <v>0.02</v>
      </c>
      <c r="AO75" s="96">
        <f t="shared" si="54"/>
        <v>0.28999999999999998</v>
      </c>
      <c r="AP75" s="96">
        <f t="shared" si="55"/>
        <v>0.69</v>
      </c>
      <c r="AQ75" s="96">
        <f t="shared" si="56"/>
        <v>0.02</v>
      </c>
      <c r="AR75" s="96">
        <f t="shared" si="57"/>
        <v>0.28999999999999998</v>
      </c>
    </row>
    <row r="76" spans="1:44">
      <c r="A76" s="4" t="s">
        <v>105</v>
      </c>
      <c r="B76" s="4">
        <v>6</v>
      </c>
      <c r="C76" s="97">
        <f>modAllocation!C6</f>
        <v>0.69</v>
      </c>
      <c r="D76" s="97">
        <f>modAllocation!D6</f>
        <v>0.02</v>
      </c>
      <c r="E76" s="97">
        <f>modAllocation!E6</f>
        <v>0.28999999999999998</v>
      </c>
      <c r="F76" s="96">
        <f t="shared" si="19"/>
        <v>0.69</v>
      </c>
      <c r="G76" s="96">
        <f t="shared" si="20"/>
        <v>0.02</v>
      </c>
      <c r="H76" s="96">
        <f t="shared" si="21"/>
        <v>0.28999999999999998</v>
      </c>
      <c r="I76" s="96">
        <f t="shared" si="22"/>
        <v>0.69</v>
      </c>
      <c r="J76" s="96">
        <f t="shared" si="23"/>
        <v>0.02</v>
      </c>
      <c r="K76" s="96">
        <f t="shared" si="24"/>
        <v>0.28999999999999998</v>
      </c>
      <c r="L76" s="96">
        <f t="shared" si="25"/>
        <v>0.69</v>
      </c>
      <c r="M76" s="96">
        <f t="shared" si="26"/>
        <v>0.02</v>
      </c>
      <c r="N76" s="96">
        <f t="shared" si="27"/>
        <v>0.28999999999999998</v>
      </c>
      <c r="O76" s="96">
        <f t="shared" si="28"/>
        <v>0.69</v>
      </c>
      <c r="P76" s="96">
        <f t="shared" si="29"/>
        <v>0.02</v>
      </c>
      <c r="Q76" s="96">
        <f t="shared" si="30"/>
        <v>0.28999999999999998</v>
      </c>
      <c r="R76" s="96">
        <f t="shared" si="31"/>
        <v>0.69</v>
      </c>
      <c r="S76" s="97">
        <f t="shared" si="32"/>
        <v>0.02</v>
      </c>
      <c r="T76" s="96">
        <f t="shared" si="33"/>
        <v>0.28999999999999998</v>
      </c>
      <c r="U76" s="96">
        <f t="shared" si="34"/>
        <v>0.69</v>
      </c>
      <c r="V76" s="96">
        <f t="shared" si="35"/>
        <v>0.02</v>
      </c>
      <c r="W76" s="96">
        <f t="shared" si="36"/>
        <v>0.28999999999999998</v>
      </c>
      <c r="X76" s="96">
        <f t="shared" si="37"/>
        <v>0.69</v>
      </c>
      <c r="Y76" s="96">
        <f t="shared" si="38"/>
        <v>0.02</v>
      </c>
      <c r="Z76" s="96">
        <f t="shared" si="39"/>
        <v>0.28999999999999998</v>
      </c>
      <c r="AA76" s="96">
        <f t="shared" si="40"/>
        <v>0.69</v>
      </c>
      <c r="AB76" s="96">
        <f t="shared" si="41"/>
        <v>0.02</v>
      </c>
      <c r="AC76" s="96">
        <f t="shared" si="42"/>
        <v>0.28999999999999998</v>
      </c>
      <c r="AD76" s="96">
        <f t="shared" si="43"/>
        <v>0.69</v>
      </c>
      <c r="AE76" s="96">
        <f t="shared" si="44"/>
        <v>0.02</v>
      </c>
      <c r="AF76" s="96">
        <f t="shared" si="45"/>
        <v>0.28999999999999998</v>
      </c>
      <c r="AG76" s="96">
        <f t="shared" si="46"/>
        <v>0.69</v>
      </c>
      <c r="AH76" s="96">
        <f t="shared" si="47"/>
        <v>0.02</v>
      </c>
      <c r="AI76" s="96">
        <f t="shared" si="48"/>
        <v>0.28999999999999998</v>
      </c>
      <c r="AJ76" s="96">
        <f t="shared" si="49"/>
        <v>0.69</v>
      </c>
      <c r="AK76" s="96">
        <f t="shared" si="50"/>
        <v>0.02</v>
      </c>
      <c r="AL76" s="96">
        <f t="shared" si="51"/>
        <v>0.28999999999999998</v>
      </c>
      <c r="AM76" s="96">
        <f t="shared" si="52"/>
        <v>0.69</v>
      </c>
      <c r="AN76" s="96">
        <f t="shared" si="53"/>
        <v>0.02</v>
      </c>
      <c r="AO76" s="96">
        <f t="shared" si="54"/>
        <v>0.28999999999999998</v>
      </c>
      <c r="AP76" s="96">
        <f t="shared" si="55"/>
        <v>0.69</v>
      </c>
      <c r="AQ76" s="96">
        <f t="shared" si="56"/>
        <v>0.02</v>
      </c>
      <c r="AR76" s="96">
        <f t="shared" si="57"/>
        <v>0.28999999999999998</v>
      </c>
    </row>
    <row r="77" spans="1:44">
      <c r="A77" s="4" t="s">
        <v>106</v>
      </c>
      <c r="B77" s="4">
        <v>1</v>
      </c>
      <c r="C77" s="97">
        <f>modAllocation!C7</f>
        <v>0</v>
      </c>
      <c r="D77" s="97">
        <f>modAllocation!D7</f>
        <v>0.2</v>
      </c>
      <c r="E77" s="97">
        <f>modAllocation!E7</f>
        <v>0.8</v>
      </c>
      <c r="S77" s="4"/>
    </row>
    <row r="78" spans="1:44">
      <c r="A78" s="4" t="s">
        <v>106</v>
      </c>
      <c r="B78" s="4">
        <v>2</v>
      </c>
      <c r="C78" s="97">
        <f>modAllocation!C8</f>
        <v>0</v>
      </c>
      <c r="D78" s="97">
        <f>modAllocation!D8</f>
        <v>0.2</v>
      </c>
      <c r="E78" s="97">
        <f>modAllocation!E8</f>
        <v>0.8</v>
      </c>
      <c r="S78" s="4"/>
    </row>
    <row r="79" spans="1:44">
      <c r="A79" s="4" t="s">
        <v>106</v>
      </c>
      <c r="B79" s="4">
        <v>3</v>
      </c>
      <c r="C79" s="97">
        <f>modAllocation!C9</f>
        <v>0</v>
      </c>
      <c r="D79" s="97">
        <f>modAllocation!D9</f>
        <v>0.2</v>
      </c>
      <c r="E79" s="97">
        <f>modAllocation!E9</f>
        <v>0.8</v>
      </c>
      <c r="S79" s="4"/>
    </row>
    <row r="80" spans="1:44">
      <c r="A80" s="4" t="s">
        <v>106</v>
      </c>
      <c r="B80" s="4">
        <v>4</v>
      </c>
      <c r="C80" s="97">
        <f>modAllocation!C10</f>
        <v>0</v>
      </c>
      <c r="D80" s="97">
        <f>modAllocation!D10</f>
        <v>0.2</v>
      </c>
      <c r="E80" s="97">
        <f>modAllocation!E10</f>
        <v>0.8</v>
      </c>
      <c r="S80" s="4"/>
    </row>
    <row r="81" spans="1:19">
      <c r="A81" s="4" t="s">
        <v>106</v>
      </c>
      <c r="B81" s="4">
        <v>5</v>
      </c>
      <c r="C81" s="97">
        <f>modAllocation!C11</f>
        <v>0</v>
      </c>
      <c r="D81" s="97">
        <f>modAllocation!D11</f>
        <v>0.2</v>
      </c>
      <c r="E81" s="97">
        <f>modAllocation!E11</f>
        <v>0.8</v>
      </c>
      <c r="S81" s="4"/>
    </row>
    <row r="82" spans="1:19">
      <c r="A82" s="4" t="s">
        <v>106</v>
      </c>
      <c r="B82" s="4">
        <v>6</v>
      </c>
      <c r="C82" s="97">
        <f>modAllocation!C12</f>
        <v>0</v>
      </c>
      <c r="D82" s="97">
        <f>modAllocation!D12</f>
        <v>0.2</v>
      </c>
      <c r="E82" s="97">
        <f>modAllocation!E12</f>
        <v>0.8</v>
      </c>
      <c r="S82" s="4"/>
    </row>
    <row r="83" spans="1:19">
      <c r="A83" s="4" t="s">
        <v>107</v>
      </c>
      <c r="B83" s="4">
        <v>1</v>
      </c>
      <c r="C83" s="97">
        <f>modAllocation!C13</f>
        <v>0.9</v>
      </c>
      <c r="D83" s="97">
        <f>modAllocation!D13</f>
        <v>0</v>
      </c>
      <c r="E83" s="97">
        <f>modAllocation!E13</f>
        <v>0.1</v>
      </c>
      <c r="I83" s="4"/>
      <c r="S83" s="4"/>
    </row>
    <row r="84" spans="1:19">
      <c r="A84" s="4" t="s">
        <v>107</v>
      </c>
      <c r="B84" s="4">
        <v>2</v>
      </c>
      <c r="C84" s="97">
        <f>modAllocation!C14</f>
        <v>0.9</v>
      </c>
      <c r="D84" s="97">
        <f>modAllocation!D14</f>
        <v>0</v>
      </c>
      <c r="E84" s="97">
        <f>modAllocation!E14</f>
        <v>0.1</v>
      </c>
      <c r="S84" s="4"/>
    </row>
    <row r="85" spans="1:19">
      <c r="A85" s="4" t="s">
        <v>107</v>
      </c>
      <c r="B85" s="4">
        <v>3</v>
      </c>
      <c r="C85" s="97">
        <f>modAllocation!C15</f>
        <v>0.9</v>
      </c>
      <c r="D85" s="97">
        <f>modAllocation!D15</f>
        <v>0</v>
      </c>
      <c r="E85" s="97">
        <f>modAllocation!E15</f>
        <v>0.1</v>
      </c>
      <c r="S85" s="4"/>
    </row>
    <row r="86" spans="1:19">
      <c r="A86" s="4" t="s">
        <v>107</v>
      </c>
      <c r="B86" s="4">
        <v>4</v>
      </c>
      <c r="C86" s="97">
        <f>modAllocation!C16</f>
        <v>0.9</v>
      </c>
      <c r="D86" s="97">
        <f>modAllocation!D16</f>
        <v>0</v>
      </c>
      <c r="E86" s="97">
        <f>modAllocation!E16</f>
        <v>0.1</v>
      </c>
      <c r="S86" s="4"/>
    </row>
    <row r="87" spans="1:19">
      <c r="A87" s="4" t="s">
        <v>107</v>
      </c>
      <c r="B87" s="4">
        <v>5</v>
      </c>
      <c r="C87" s="97">
        <f>modAllocation!C17</f>
        <v>0.9</v>
      </c>
      <c r="D87" s="97">
        <f>modAllocation!D17</f>
        <v>0</v>
      </c>
      <c r="E87" s="97">
        <f>modAllocation!E17</f>
        <v>0.1</v>
      </c>
      <c r="S87" s="4"/>
    </row>
    <row r="88" spans="1:19">
      <c r="A88" s="4" t="s">
        <v>107</v>
      </c>
      <c r="B88" s="4">
        <v>6</v>
      </c>
      <c r="C88" s="97">
        <f>modAllocation!C18</f>
        <v>0.9</v>
      </c>
      <c r="D88" s="97">
        <f>modAllocation!D18</f>
        <v>0</v>
      </c>
      <c r="E88" s="97">
        <f>modAllocation!E18</f>
        <v>0.1</v>
      </c>
      <c r="S88" s="4"/>
    </row>
    <row r="89" spans="1:19">
      <c r="A89" s="4" t="s">
        <v>108</v>
      </c>
      <c r="B89" s="4">
        <v>1</v>
      </c>
      <c r="C89" s="97">
        <f>modAllocation!C19</f>
        <v>0.98</v>
      </c>
      <c r="D89" s="97">
        <f>modAllocation!D19</f>
        <v>0.02</v>
      </c>
      <c r="E89" s="97">
        <f>modAllocation!E19</f>
        <v>0</v>
      </c>
      <c r="S89" s="4"/>
    </row>
    <row r="90" spans="1:19">
      <c r="A90" s="4" t="s">
        <v>108</v>
      </c>
      <c r="B90" s="4">
        <v>2</v>
      </c>
      <c r="C90" s="97">
        <f>modAllocation!C20</f>
        <v>0.98</v>
      </c>
      <c r="D90" s="97">
        <f>modAllocation!D20</f>
        <v>0.02</v>
      </c>
      <c r="E90" s="97">
        <f>modAllocation!E20</f>
        <v>0</v>
      </c>
      <c r="S90" s="4"/>
    </row>
    <row r="91" spans="1:19">
      <c r="A91" s="4" t="s">
        <v>108</v>
      </c>
      <c r="B91" s="4">
        <v>3</v>
      </c>
      <c r="C91" s="97">
        <f>modAllocation!C21</f>
        <v>0.98</v>
      </c>
      <c r="D91" s="97">
        <f>modAllocation!D21</f>
        <v>0.02</v>
      </c>
      <c r="E91" s="97">
        <f>modAllocation!E21</f>
        <v>0</v>
      </c>
      <c r="S91" s="4"/>
    </row>
    <row r="92" spans="1:19">
      <c r="A92" s="4" t="s">
        <v>108</v>
      </c>
      <c r="B92" s="4">
        <v>4</v>
      </c>
      <c r="C92" s="97">
        <f>modAllocation!C22</f>
        <v>0.98</v>
      </c>
      <c r="D92" s="97">
        <f>modAllocation!D22</f>
        <v>0.02</v>
      </c>
      <c r="E92" s="97">
        <f>modAllocation!E22</f>
        <v>0</v>
      </c>
      <c r="S92" s="4"/>
    </row>
    <row r="93" spans="1:19">
      <c r="A93" s="4" t="s">
        <v>108</v>
      </c>
      <c r="B93" s="4">
        <v>5</v>
      </c>
      <c r="C93" s="97">
        <f>modAllocation!C23</f>
        <v>0.98</v>
      </c>
      <c r="D93" s="97">
        <f>modAllocation!D23</f>
        <v>0.02</v>
      </c>
      <c r="E93" s="97">
        <f>modAllocation!E23</f>
        <v>0</v>
      </c>
      <c r="S93" s="4"/>
    </row>
    <row r="94" spans="1:19">
      <c r="A94" s="4" t="s">
        <v>108</v>
      </c>
      <c r="B94" s="4">
        <v>6</v>
      </c>
      <c r="C94" s="97">
        <f>modAllocation!C24</f>
        <v>0.98</v>
      </c>
      <c r="D94" s="97">
        <f>modAllocation!D24</f>
        <v>0.02</v>
      </c>
      <c r="E94" s="97">
        <f>modAllocation!E24</f>
        <v>0</v>
      </c>
      <c r="S94" s="4"/>
    </row>
    <row r="95" spans="1:19">
      <c r="A95" s="4"/>
      <c r="B95" s="4"/>
      <c r="C95" s="4"/>
      <c r="S95" s="4"/>
    </row>
    <row r="96" spans="1:19">
      <c r="A96" s="4" t="s">
        <v>111</v>
      </c>
      <c r="B96" s="4" t="s">
        <v>179</v>
      </c>
      <c r="C96" s="4" t="s">
        <v>154</v>
      </c>
      <c r="S96" s="4"/>
    </row>
    <row r="97" spans="1:19">
      <c r="A97" s="4">
        <v>1</v>
      </c>
      <c r="B97" s="95">
        <f>E97-0*E97</f>
        <v>0.4</v>
      </c>
      <c r="C97" s="95">
        <f>F97-0*F97</f>
        <v>0.4</v>
      </c>
      <c r="E97" s="95">
        <f>TxType!B1</f>
        <v>0.4</v>
      </c>
      <c r="F97" s="95">
        <f>TxType!B9</f>
        <v>0.4</v>
      </c>
      <c r="S97" s="4"/>
    </row>
    <row r="98" spans="1:19">
      <c r="A98" s="4">
        <v>2</v>
      </c>
      <c r="B98" s="95">
        <f t="shared" ref="B98:B102" si="58">E98-0*E98</f>
        <v>0.25</v>
      </c>
      <c r="C98" s="95">
        <f t="shared" ref="C98:C102" si="59">F98-0*F98</f>
        <v>0.25</v>
      </c>
      <c r="E98" s="95">
        <f>TxType!B2</f>
        <v>0.25</v>
      </c>
      <c r="F98" s="95">
        <f>TxType!B10</f>
        <v>0.25</v>
      </c>
      <c r="S98" s="4"/>
    </row>
    <row r="99" spans="1:19">
      <c r="A99" s="4">
        <v>3</v>
      </c>
      <c r="B99" s="95">
        <f t="shared" si="58"/>
        <v>0.25</v>
      </c>
      <c r="C99" s="95">
        <f t="shared" si="59"/>
        <v>0.25</v>
      </c>
      <c r="E99" s="95">
        <f>TxType!B3</f>
        <v>0.25</v>
      </c>
      <c r="F99" s="95">
        <f>TxType!B11</f>
        <v>0.25</v>
      </c>
      <c r="S99" s="4"/>
    </row>
    <row r="100" spans="1:19">
      <c r="A100" s="4">
        <v>4</v>
      </c>
      <c r="B100" s="95">
        <f t="shared" si="58"/>
        <v>0.25</v>
      </c>
      <c r="C100" s="95">
        <f t="shared" si="59"/>
        <v>0.25</v>
      </c>
      <c r="E100" s="95">
        <f>TxType!B4</f>
        <v>0.25</v>
      </c>
      <c r="F100" s="95">
        <f>TxType!B12</f>
        <v>0.25</v>
      </c>
      <c r="S100" s="4"/>
    </row>
    <row r="101" spans="1:19">
      <c r="A101" s="4">
        <v>5</v>
      </c>
      <c r="B101" s="95">
        <f t="shared" si="58"/>
        <v>0.15</v>
      </c>
      <c r="C101" s="95">
        <f t="shared" si="59"/>
        <v>0.15</v>
      </c>
      <c r="E101" s="95">
        <f>TxType!B5</f>
        <v>0.15</v>
      </c>
      <c r="F101" s="95">
        <f>TxType!B13</f>
        <v>0.15</v>
      </c>
      <c r="S101" s="4"/>
    </row>
    <row r="102" spans="1:19">
      <c r="A102" s="4">
        <v>6</v>
      </c>
      <c r="B102" s="95">
        <f t="shared" si="58"/>
        <v>0</v>
      </c>
      <c r="C102" s="95">
        <f t="shared" si="59"/>
        <v>0</v>
      </c>
      <c r="E102" s="95">
        <f>TxType!B6</f>
        <v>0</v>
      </c>
      <c r="F102" s="95">
        <f>TxType!B14</f>
        <v>0</v>
      </c>
      <c r="S102" s="4"/>
    </row>
    <row r="103" spans="1:19">
      <c r="A103" s="4"/>
      <c r="B103" s="4"/>
      <c r="C103" s="4"/>
    </row>
    <row r="104" spans="1:19" hidden="1">
      <c r="A104" s="4" t="s">
        <v>114</v>
      </c>
      <c r="B104" s="4"/>
      <c r="C104" s="154" t="s">
        <v>163</v>
      </c>
      <c r="D104" s="154"/>
      <c r="E104" s="154"/>
      <c r="G104" t="s">
        <v>164</v>
      </c>
    </row>
    <row r="105" spans="1:19" hidden="1">
      <c r="A105" s="4"/>
      <c r="B105" s="4" t="s">
        <v>115</v>
      </c>
      <c r="C105" s="4" t="s">
        <v>55</v>
      </c>
      <c r="D105" t="s">
        <v>56</v>
      </c>
      <c r="E105" t="s">
        <v>57</v>
      </c>
      <c r="G105" s="4" t="s">
        <v>55</v>
      </c>
      <c r="H105" t="s">
        <v>56</v>
      </c>
      <c r="I105" t="s">
        <v>57</v>
      </c>
    </row>
    <row r="106" spans="1:19" hidden="1">
      <c r="A106" s="4" t="s">
        <v>112</v>
      </c>
      <c r="B106" s="4">
        <v>1</v>
      </c>
      <c r="C106" s="69" t="e">
        <f>#REF!</f>
        <v>#REF!</v>
      </c>
      <c r="D106" s="66" t="e">
        <f>#REF!</f>
        <v>#REF!</v>
      </c>
      <c r="E106" s="66" t="e">
        <f>#REF!</f>
        <v>#REF!</v>
      </c>
      <c r="G106" s="91" t="e">
        <f>#REF!</f>
        <v>#REF!</v>
      </c>
      <c r="H106" s="66" t="e">
        <f>#REF!</f>
        <v>#REF!</v>
      </c>
      <c r="I106" s="66" t="e">
        <f>#REF!</f>
        <v>#REF!</v>
      </c>
    </row>
    <row r="107" spans="1:19" hidden="1">
      <c r="A107" s="4" t="s">
        <v>112</v>
      </c>
      <c r="B107" s="4">
        <v>2</v>
      </c>
      <c r="C107" s="69" t="e">
        <f>#REF!</f>
        <v>#REF!</v>
      </c>
      <c r="D107" s="66" t="e">
        <f>#REF!</f>
        <v>#REF!</v>
      </c>
      <c r="E107" s="66" t="e">
        <f>#REF!</f>
        <v>#REF!</v>
      </c>
      <c r="G107" s="91" t="e">
        <f>#REF!</f>
        <v>#REF!</v>
      </c>
      <c r="H107" s="66" t="e">
        <f>#REF!</f>
        <v>#REF!</v>
      </c>
      <c r="I107" s="66" t="e">
        <f>#REF!</f>
        <v>#REF!</v>
      </c>
    </row>
    <row r="108" spans="1:19" hidden="1">
      <c r="A108" s="4" t="s">
        <v>112</v>
      </c>
      <c r="B108" s="4">
        <v>3</v>
      </c>
      <c r="C108" s="69" t="e">
        <f>#REF!</f>
        <v>#REF!</v>
      </c>
      <c r="D108" s="66" t="e">
        <f>#REF!</f>
        <v>#REF!</v>
      </c>
      <c r="E108" s="66" t="e">
        <f>#REF!</f>
        <v>#REF!</v>
      </c>
      <c r="G108" s="91" t="e">
        <f>#REF!</f>
        <v>#REF!</v>
      </c>
      <c r="H108" s="66" t="e">
        <f>#REF!</f>
        <v>#REF!</v>
      </c>
      <c r="I108" s="66" t="e">
        <f>#REF!</f>
        <v>#REF!</v>
      </c>
    </row>
    <row r="109" spans="1:19" hidden="1">
      <c r="A109" s="4" t="s">
        <v>112</v>
      </c>
      <c r="B109" s="4">
        <v>4</v>
      </c>
      <c r="C109" s="69" t="e">
        <f>#REF!</f>
        <v>#REF!</v>
      </c>
      <c r="D109" s="66" t="e">
        <f>#REF!</f>
        <v>#REF!</v>
      </c>
      <c r="E109" s="66" t="e">
        <f>#REF!</f>
        <v>#REF!</v>
      </c>
      <c r="G109" s="91" t="e">
        <f>#REF!</f>
        <v>#REF!</v>
      </c>
      <c r="H109" s="66" t="e">
        <f>#REF!</f>
        <v>#REF!</v>
      </c>
      <c r="I109" s="66" t="e">
        <f>#REF!</f>
        <v>#REF!</v>
      </c>
    </row>
    <row r="110" spans="1:19" hidden="1">
      <c r="A110" s="4" t="s">
        <v>112</v>
      </c>
      <c r="B110" s="4">
        <v>5</v>
      </c>
      <c r="C110" s="69" t="e">
        <f>#REF!</f>
        <v>#REF!</v>
      </c>
      <c r="D110" s="66" t="e">
        <f>#REF!</f>
        <v>#REF!</v>
      </c>
      <c r="E110" s="66" t="e">
        <f>#REF!</f>
        <v>#REF!</v>
      </c>
      <c r="G110" s="91" t="e">
        <f>#REF!</f>
        <v>#REF!</v>
      </c>
      <c r="H110" s="66" t="e">
        <f>#REF!</f>
        <v>#REF!</v>
      </c>
      <c r="I110" s="66" t="e">
        <f>#REF!</f>
        <v>#REF!</v>
      </c>
    </row>
    <row r="111" spans="1:19" hidden="1">
      <c r="A111" s="4" t="s">
        <v>112</v>
      </c>
      <c r="B111" s="4">
        <v>6</v>
      </c>
      <c r="C111" s="69" t="e">
        <f>#REF!</f>
        <v>#REF!</v>
      </c>
      <c r="D111" s="66" t="e">
        <f>#REF!</f>
        <v>#REF!</v>
      </c>
      <c r="E111" s="66" t="e">
        <f>#REF!</f>
        <v>#REF!</v>
      </c>
      <c r="G111" s="91" t="e">
        <f>#REF!</f>
        <v>#REF!</v>
      </c>
      <c r="H111" s="66" t="e">
        <f>#REF!</f>
        <v>#REF!</v>
      </c>
      <c r="I111" s="66" t="e">
        <f>#REF!</f>
        <v>#REF!</v>
      </c>
    </row>
    <row r="112" spans="1:19" hidden="1">
      <c r="A112" s="4" t="s">
        <v>113</v>
      </c>
      <c r="B112" s="4">
        <v>1</v>
      </c>
      <c r="C112" s="69" t="e">
        <f>#REF!</f>
        <v>#REF!</v>
      </c>
      <c r="D112" s="66" t="e">
        <f>#REF!</f>
        <v>#REF!</v>
      </c>
      <c r="E112" s="66" t="e">
        <f>#REF!</f>
        <v>#REF!</v>
      </c>
      <c r="G112" s="91" t="e">
        <f>#REF!</f>
        <v>#REF!</v>
      </c>
      <c r="H112" s="66" t="e">
        <f>#REF!</f>
        <v>#REF!</v>
      </c>
      <c r="I112" s="66" t="e">
        <f>#REF!</f>
        <v>#REF!</v>
      </c>
    </row>
    <row r="113" spans="1:9" hidden="1">
      <c r="A113" s="4" t="s">
        <v>113</v>
      </c>
      <c r="B113" s="4">
        <v>2</v>
      </c>
      <c r="C113" s="69" t="e">
        <f>#REF!</f>
        <v>#REF!</v>
      </c>
      <c r="D113" s="66" t="e">
        <f>#REF!</f>
        <v>#REF!</v>
      </c>
      <c r="E113" s="66" t="e">
        <f>#REF!</f>
        <v>#REF!</v>
      </c>
      <c r="G113" s="91" t="e">
        <f>#REF!</f>
        <v>#REF!</v>
      </c>
      <c r="H113" s="66" t="e">
        <f>#REF!</f>
        <v>#REF!</v>
      </c>
      <c r="I113" s="66" t="e">
        <f>#REF!</f>
        <v>#REF!</v>
      </c>
    </row>
    <row r="114" spans="1:9" hidden="1">
      <c r="A114" s="4" t="s">
        <v>113</v>
      </c>
      <c r="B114" s="4">
        <v>3</v>
      </c>
      <c r="C114" s="69" t="e">
        <f>#REF!</f>
        <v>#REF!</v>
      </c>
      <c r="D114" s="66" t="e">
        <f>#REF!</f>
        <v>#REF!</v>
      </c>
      <c r="E114" s="66" t="e">
        <f>#REF!</f>
        <v>#REF!</v>
      </c>
      <c r="G114" s="91" t="e">
        <f>#REF!</f>
        <v>#REF!</v>
      </c>
      <c r="H114" s="66" t="e">
        <f>#REF!</f>
        <v>#REF!</v>
      </c>
      <c r="I114" s="66" t="e">
        <f>#REF!</f>
        <v>#REF!</v>
      </c>
    </row>
    <row r="115" spans="1:9" hidden="1">
      <c r="A115" s="4" t="s">
        <v>113</v>
      </c>
      <c r="B115" s="4">
        <v>4</v>
      </c>
      <c r="C115" s="69" t="e">
        <f>#REF!</f>
        <v>#REF!</v>
      </c>
      <c r="D115" s="66" t="e">
        <f>#REF!</f>
        <v>#REF!</v>
      </c>
      <c r="E115" s="66" t="e">
        <f>#REF!</f>
        <v>#REF!</v>
      </c>
      <c r="G115" s="91" t="e">
        <f>#REF!</f>
        <v>#REF!</v>
      </c>
      <c r="H115" s="66" t="e">
        <f>#REF!</f>
        <v>#REF!</v>
      </c>
      <c r="I115" s="66" t="e">
        <f>#REF!</f>
        <v>#REF!</v>
      </c>
    </row>
    <row r="116" spans="1:9" hidden="1">
      <c r="A116" s="4" t="s">
        <v>113</v>
      </c>
      <c r="B116" s="4">
        <v>5</v>
      </c>
      <c r="C116" s="69" t="e">
        <f>#REF!</f>
        <v>#REF!</v>
      </c>
      <c r="D116" s="66" t="e">
        <f>#REF!</f>
        <v>#REF!</v>
      </c>
      <c r="E116" s="66" t="e">
        <f>#REF!</f>
        <v>#REF!</v>
      </c>
      <c r="G116" s="91" t="e">
        <f>#REF!</f>
        <v>#REF!</v>
      </c>
      <c r="H116" s="66" t="e">
        <f>#REF!</f>
        <v>#REF!</v>
      </c>
      <c r="I116" s="66" t="e">
        <f>#REF!</f>
        <v>#REF!</v>
      </c>
    </row>
    <row r="117" spans="1:9" hidden="1">
      <c r="A117" s="4" t="s">
        <v>113</v>
      </c>
      <c r="B117" s="4">
        <v>6</v>
      </c>
      <c r="C117" s="69" t="e">
        <f>#REF!</f>
        <v>#REF!</v>
      </c>
      <c r="D117" s="66" t="e">
        <f>#REF!</f>
        <v>#REF!</v>
      </c>
      <c r="E117" s="66" t="e">
        <f>#REF!</f>
        <v>#REF!</v>
      </c>
      <c r="G117" s="91" t="e">
        <f>#REF!</f>
        <v>#REF!</v>
      </c>
      <c r="H117" s="66" t="e">
        <f>#REF!</f>
        <v>#REF!</v>
      </c>
      <c r="I117" s="66" t="e">
        <f>#REF!</f>
        <v>#REF!</v>
      </c>
    </row>
    <row r="118" spans="1:9" hidden="1">
      <c r="A118" s="4"/>
      <c r="B118" s="4"/>
      <c r="C118" s="4"/>
    </row>
    <row r="119" spans="1:9" hidden="1"/>
    <row r="120" spans="1:9" hidden="1">
      <c r="A120" t="s">
        <v>160</v>
      </c>
      <c r="B120" t="s">
        <v>115</v>
      </c>
      <c r="C120" t="s">
        <v>117</v>
      </c>
      <c r="D120" t="s">
        <v>116</v>
      </c>
      <c r="F120" t="s">
        <v>161</v>
      </c>
    </row>
    <row r="121" spans="1:9" hidden="1">
      <c r="A121" s="4"/>
      <c r="B121" s="61">
        <v>1</v>
      </c>
      <c r="C121" s="89" t="e">
        <f>#REF!</f>
        <v>#REF!</v>
      </c>
      <c r="D121" s="89" t="e">
        <f>#REF!</f>
        <v>#REF!</v>
      </c>
      <c r="G121" t="s">
        <v>162</v>
      </c>
      <c r="H121" t="s">
        <v>116</v>
      </c>
    </row>
    <row r="122" spans="1:9" hidden="1">
      <c r="A122" s="4"/>
      <c r="B122">
        <v>2</v>
      </c>
      <c r="C122" s="90" t="e">
        <f>#REF!</f>
        <v>#REF!</v>
      </c>
      <c r="D122" s="90" t="e">
        <f>#REF!</f>
        <v>#REF!</v>
      </c>
      <c r="F122" s="4" t="s">
        <v>157</v>
      </c>
      <c r="G122" t="e">
        <f>#REF!</f>
        <v>#REF!</v>
      </c>
      <c r="H122" t="e">
        <f>#REF!</f>
        <v>#REF!</v>
      </c>
    </row>
    <row r="123" spans="1:9" hidden="1">
      <c r="A123" s="4"/>
      <c r="B123">
        <v>3</v>
      </c>
      <c r="C123" s="90" t="e">
        <f>#REF!</f>
        <v>#REF!</v>
      </c>
      <c r="D123" s="90" t="e">
        <f>#REF!</f>
        <v>#REF!</v>
      </c>
      <c r="F123" s="4" t="s">
        <v>158</v>
      </c>
      <c r="G123" t="e">
        <f>#REF!</f>
        <v>#REF!</v>
      </c>
      <c r="H123" t="e">
        <f>#REF!</f>
        <v>#REF!</v>
      </c>
    </row>
    <row r="124" spans="1:9" hidden="1">
      <c r="A124" s="4"/>
      <c r="B124">
        <v>4</v>
      </c>
      <c r="C124" s="90" t="e">
        <f>#REF!</f>
        <v>#REF!</v>
      </c>
      <c r="D124" s="90" t="e">
        <f>#REF!</f>
        <v>#REF!</v>
      </c>
      <c r="F124" s="4" t="s">
        <v>115</v>
      </c>
      <c r="G124" t="e">
        <f>#REF!</f>
        <v>#REF!</v>
      </c>
      <c r="H124" t="e">
        <f>#REF!</f>
        <v>#REF!</v>
      </c>
    </row>
    <row r="125" spans="1:9" hidden="1">
      <c r="A125" s="4"/>
      <c r="B125">
        <v>5</v>
      </c>
      <c r="C125" s="90" t="e">
        <f>#REF!</f>
        <v>#REF!</v>
      </c>
      <c r="D125" s="90" t="e">
        <f>#REF!</f>
        <v>#REF!</v>
      </c>
      <c r="F125" s="4" t="s">
        <v>159</v>
      </c>
      <c r="G125" t="e">
        <f>#REF!</f>
        <v>#REF!</v>
      </c>
      <c r="H125" t="e">
        <f>#REF!</f>
        <v>#REF!</v>
      </c>
    </row>
    <row r="126" spans="1:9" hidden="1">
      <c r="A126" s="4"/>
      <c r="B126">
        <v>6</v>
      </c>
      <c r="C126" s="90" t="e">
        <f>#REF!</f>
        <v>#REF!</v>
      </c>
      <c r="D126" s="90" t="e">
        <f>#REF!</f>
        <v>#REF!</v>
      </c>
    </row>
    <row r="127" spans="1:9">
      <c r="A127" s="4"/>
    </row>
    <row r="128" spans="1:9">
      <c r="A128" s="71" t="s">
        <v>118</v>
      </c>
      <c r="C128" s="1" t="s">
        <v>63</v>
      </c>
      <c r="D128" s="1" t="s">
        <v>137</v>
      </c>
    </row>
    <row r="129" spans="1:7">
      <c r="A129" s="4" t="s">
        <v>136</v>
      </c>
    </row>
    <row r="130" spans="1:7">
      <c r="A130" s="4"/>
      <c r="B130" t="s">
        <v>119</v>
      </c>
      <c r="C130" s="2">
        <f>Prev_Pop_Initialisation!C3</f>
        <v>0</v>
      </c>
      <c r="D130" s="2">
        <f>Prev_Pop_Initialisation!D3</f>
        <v>0</v>
      </c>
    </row>
    <row r="131" spans="1:7">
      <c r="A131" s="4"/>
      <c r="B131" t="s">
        <v>120</v>
      </c>
      <c r="C131" s="2">
        <f>Prev_Pop_Initialisation!C4</f>
        <v>0</v>
      </c>
      <c r="D131" s="2">
        <f>Prev_Pop_Initialisation!D4</f>
        <v>0</v>
      </c>
    </row>
    <row r="132" spans="1:7">
      <c r="A132" s="4"/>
      <c r="B132" t="s">
        <v>121</v>
      </c>
      <c r="C132" s="2">
        <f>Prev_Pop_Initialisation!C5</f>
        <v>0</v>
      </c>
      <c r="D132" s="2">
        <f>Prev_Pop_Initialisation!D5</f>
        <v>0</v>
      </c>
    </row>
    <row r="133" spans="1:7">
      <c r="A133" s="4"/>
      <c r="B133" t="s">
        <v>122</v>
      </c>
      <c r="C133" s="2">
        <f>Prev_Pop_Initialisation!C6</f>
        <v>0</v>
      </c>
      <c r="D133" s="2">
        <f>Prev_Pop_Initialisation!D6</f>
        <v>0</v>
      </c>
    </row>
    <row r="134" spans="1:7">
      <c r="B134" t="s">
        <v>123</v>
      </c>
      <c r="C134" s="2">
        <f>Prev_Pop_Initialisation!C7</f>
        <v>0</v>
      </c>
      <c r="D134" s="2">
        <f>Prev_Pop_Initialisation!D7</f>
        <v>0</v>
      </c>
    </row>
    <row r="135" spans="1:7">
      <c r="B135" t="s">
        <v>124</v>
      </c>
      <c r="C135" s="2">
        <f>Prev_Pop_Initialisation!C8</f>
        <v>0</v>
      </c>
      <c r="D135" s="2">
        <f>Prev_Pop_Initialisation!D8</f>
        <v>0</v>
      </c>
    </row>
    <row r="136" spans="1:7">
      <c r="B136" t="s">
        <v>125</v>
      </c>
      <c r="C136" s="2">
        <f>Prev_Pop_Initialisation!C9</f>
        <v>0</v>
      </c>
      <c r="D136" s="2">
        <f>Prev_Pop_Initialisation!D9</f>
        <v>0</v>
      </c>
    </row>
    <row r="137" spans="1:7">
      <c r="B137" t="s">
        <v>126</v>
      </c>
      <c r="C137" s="2">
        <f>Prev_Pop_Initialisation!C10</f>
        <v>0</v>
      </c>
      <c r="D137" s="2">
        <f>Prev_Pop_Initialisation!D10</f>
        <v>0</v>
      </c>
    </row>
    <row r="138" spans="1:7">
      <c r="B138" t="s">
        <v>127</v>
      </c>
      <c r="C138" s="2">
        <f>Prev_Pop_Initialisation!C11</f>
        <v>0</v>
      </c>
      <c r="D138" s="2">
        <f>Prev_Pop_Initialisation!D11</f>
        <v>0</v>
      </c>
    </row>
    <row r="139" spans="1:7">
      <c r="B139" t="s">
        <v>128</v>
      </c>
      <c r="C139" s="2">
        <f>Prev_Pop_Initialisation!C12</f>
        <v>0</v>
      </c>
      <c r="D139" s="2">
        <f>Prev_Pop_Initialisation!D12</f>
        <v>0</v>
      </c>
    </row>
    <row r="140" spans="1:7">
      <c r="B140" t="s">
        <v>129</v>
      </c>
      <c r="C140" s="2">
        <f>Prev_Pop_Initialisation!C13</f>
        <v>0</v>
      </c>
      <c r="D140" s="2">
        <f>Prev_Pop_Initialisation!D13</f>
        <v>0</v>
      </c>
    </row>
    <row r="141" spans="1:7">
      <c r="B141" t="s">
        <v>130</v>
      </c>
      <c r="C141" s="2">
        <f>Prev_Pop_Initialisation!C14</f>
        <v>0</v>
      </c>
      <c r="D141" s="2">
        <f>Prev_Pop_Initialisation!D14</f>
        <v>0</v>
      </c>
      <c r="F141">
        <f>SUM(C130:C141)</f>
        <v>0</v>
      </c>
      <c r="G141">
        <f>SUM(D130:D141)</f>
        <v>0</v>
      </c>
    </row>
    <row r="142" spans="1:7">
      <c r="C142" s="2"/>
      <c r="D142" s="2"/>
    </row>
    <row r="143" spans="1:7">
      <c r="A143" t="s">
        <v>131</v>
      </c>
      <c r="C143" s="2"/>
      <c r="D143" s="2"/>
    </row>
    <row r="144" spans="1:7">
      <c r="B144" t="s">
        <v>119</v>
      </c>
      <c r="C144" s="2">
        <f>Prev_Pop_Initialisation!C17</f>
        <v>10</v>
      </c>
      <c r="D144" s="2">
        <f>Prev_Pop_Initialisation!D17</f>
        <v>20</v>
      </c>
    </row>
    <row r="145" spans="1:7">
      <c r="B145" t="s">
        <v>120</v>
      </c>
      <c r="C145" s="2">
        <f>Prev_Pop_Initialisation!C18</f>
        <v>10</v>
      </c>
      <c r="D145" s="2">
        <f>Prev_Pop_Initialisation!D18</f>
        <v>20</v>
      </c>
    </row>
    <row r="146" spans="1:7">
      <c r="B146" t="s">
        <v>121</v>
      </c>
      <c r="C146" s="2">
        <f>Prev_Pop_Initialisation!C19</f>
        <v>10</v>
      </c>
      <c r="D146" s="2">
        <f>Prev_Pop_Initialisation!D19</f>
        <v>20</v>
      </c>
    </row>
    <row r="147" spans="1:7">
      <c r="B147" t="s">
        <v>122</v>
      </c>
      <c r="C147" s="2">
        <f>Prev_Pop_Initialisation!C20</f>
        <v>10</v>
      </c>
      <c r="D147" s="2">
        <f>Prev_Pop_Initialisation!D20</f>
        <v>20</v>
      </c>
    </row>
    <row r="148" spans="1:7">
      <c r="B148" t="s">
        <v>123</v>
      </c>
      <c r="C148" s="2">
        <f>Prev_Pop_Initialisation!C21</f>
        <v>10</v>
      </c>
      <c r="D148" s="2">
        <f>Prev_Pop_Initialisation!D21</f>
        <v>20</v>
      </c>
    </row>
    <row r="149" spans="1:7">
      <c r="B149" t="s">
        <v>124</v>
      </c>
      <c r="C149" s="2">
        <f>Prev_Pop_Initialisation!C22</f>
        <v>10</v>
      </c>
      <c r="D149" s="2">
        <f>Prev_Pop_Initialisation!D22</f>
        <v>20</v>
      </c>
    </row>
    <row r="150" spans="1:7">
      <c r="B150" t="s">
        <v>125</v>
      </c>
      <c r="C150" s="2">
        <f>Prev_Pop_Initialisation!C23</f>
        <v>10</v>
      </c>
      <c r="D150" s="2">
        <f>Prev_Pop_Initialisation!D23</f>
        <v>20</v>
      </c>
    </row>
    <row r="151" spans="1:7">
      <c r="B151" t="s">
        <v>126</v>
      </c>
      <c r="C151" s="2">
        <f>Prev_Pop_Initialisation!C24</f>
        <v>10</v>
      </c>
      <c r="D151" s="2">
        <f>Prev_Pop_Initialisation!D24</f>
        <v>20</v>
      </c>
    </row>
    <row r="152" spans="1:7">
      <c r="B152" t="s">
        <v>127</v>
      </c>
      <c r="C152" s="2">
        <f>Prev_Pop_Initialisation!C25</f>
        <v>10</v>
      </c>
      <c r="D152" s="2">
        <f>Prev_Pop_Initialisation!D25</f>
        <v>20</v>
      </c>
    </row>
    <row r="153" spans="1:7">
      <c r="B153" t="s">
        <v>128</v>
      </c>
      <c r="C153" s="2">
        <f>Prev_Pop_Initialisation!C26</f>
        <v>10</v>
      </c>
      <c r="D153" s="2">
        <f>Prev_Pop_Initialisation!D26</f>
        <v>20</v>
      </c>
    </row>
    <row r="154" spans="1:7">
      <c r="B154" t="s">
        <v>129</v>
      </c>
      <c r="C154" s="2">
        <f>Prev_Pop_Initialisation!C27</f>
        <v>10</v>
      </c>
      <c r="D154" s="2">
        <f>Prev_Pop_Initialisation!D27</f>
        <v>20</v>
      </c>
    </row>
    <row r="155" spans="1:7">
      <c r="B155" t="s">
        <v>130</v>
      </c>
      <c r="C155" s="2">
        <f>Prev_Pop_Initialisation!C28</f>
        <v>10</v>
      </c>
      <c r="D155" s="2">
        <f>Prev_Pop_Initialisation!D28</f>
        <v>20</v>
      </c>
      <c r="F155">
        <f>SUM(C144:C155)</f>
        <v>120</v>
      </c>
      <c r="G155">
        <f>SUM(D144:D155)</f>
        <v>240</v>
      </c>
    </row>
    <row r="156" spans="1:7">
      <c r="C156" s="2"/>
      <c r="D156" s="2"/>
    </row>
    <row r="157" spans="1:7">
      <c r="A157" t="s">
        <v>132</v>
      </c>
      <c r="C157" s="2"/>
      <c r="D157" s="2"/>
    </row>
    <row r="158" spans="1:7">
      <c r="B158" t="s">
        <v>119</v>
      </c>
      <c r="C158" s="2">
        <f>Prev_Pop_Initialisation!C31</f>
        <v>1</v>
      </c>
      <c r="D158" s="2">
        <f>Prev_Pop_Initialisation!D31</f>
        <v>7</v>
      </c>
    </row>
    <row r="159" spans="1:7">
      <c r="B159" t="s">
        <v>120</v>
      </c>
      <c r="C159" s="2">
        <f>Prev_Pop_Initialisation!C32</f>
        <v>1</v>
      </c>
      <c r="D159" s="2">
        <f>Prev_Pop_Initialisation!D32</f>
        <v>7</v>
      </c>
    </row>
    <row r="160" spans="1:7">
      <c r="B160" t="s">
        <v>121</v>
      </c>
      <c r="C160" s="2">
        <f>Prev_Pop_Initialisation!C33</f>
        <v>1</v>
      </c>
      <c r="D160" s="2">
        <f>Prev_Pop_Initialisation!D33</f>
        <v>7</v>
      </c>
    </row>
    <row r="161" spans="1:7">
      <c r="B161" t="s">
        <v>122</v>
      </c>
      <c r="C161" s="2">
        <f>Prev_Pop_Initialisation!C34</f>
        <v>1</v>
      </c>
      <c r="D161" s="2">
        <f>Prev_Pop_Initialisation!D34</f>
        <v>7</v>
      </c>
    </row>
    <row r="162" spans="1:7">
      <c r="B162" t="s">
        <v>123</v>
      </c>
      <c r="C162" s="2">
        <f>Prev_Pop_Initialisation!C35</f>
        <v>1</v>
      </c>
      <c r="D162" s="2">
        <f>Prev_Pop_Initialisation!D35</f>
        <v>7</v>
      </c>
    </row>
    <row r="163" spans="1:7">
      <c r="B163" t="s">
        <v>124</v>
      </c>
      <c r="C163" s="2">
        <f>Prev_Pop_Initialisation!C36</f>
        <v>1</v>
      </c>
      <c r="D163" s="2">
        <f>Prev_Pop_Initialisation!D36</f>
        <v>7</v>
      </c>
    </row>
    <row r="164" spans="1:7">
      <c r="B164" t="s">
        <v>125</v>
      </c>
      <c r="C164" s="2">
        <f>Prev_Pop_Initialisation!C37</f>
        <v>1</v>
      </c>
      <c r="D164" s="2">
        <f>Prev_Pop_Initialisation!D37</f>
        <v>7</v>
      </c>
    </row>
    <row r="165" spans="1:7">
      <c r="B165" t="s">
        <v>126</v>
      </c>
      <c r="C165" s="2">
        <f>Prev_Pop_Initialisation!C38</f>
        <v>1</v>
      </c>
      <c r="D165" s="2">
        <f>Prev_Pop_Initialisation!D38</f>
        <v>7</v>
      </c>
    </row>
    <row r="166" spans="1:7">
      <c r="B166" t="s">
        <v>127</v>
      </c>
      <c r="C166" s="2">
        <f>Prev_Pop_Initialisation!C39</f>
        <v>1</v>
      </c>
      <c r="D166" s="2">
        <f>Prev_Pop_Initialisation!D39</f>
        <v>7</v>
      </c>
    </row>
    <row r="167" spans="1:7">
      <c r="B167" t="s">
        <v>128</v>
      </c>
      <c r="C167" s="2">
        <f>Prev_Pop_Initialisation!C40</f>
        <v>1</v>
      </c>
      <c r="D167" s="2">
        <f>Prev_Pop_Initialisation!D40</f>
        <v>7</v>
      </c>
    </row>
    <row r="168" spans="1:7">
      <c r="B168" t="s">
        <v>129</v>
      </c>
      <c r="C168" s="2">
        <f>Prev_Pop_Initialisation!C41</f>
        <v>1</v>
      </c>
      <c r="D168" s="2">
        <f>Prev_Pop_Initialisation!D41</f>
        <v>7</v>
      </c>
    </row>
    <row r="169" spans="1:7">
      <c r="B169" t="s">
        <v>130</v>
      </c>
      <c r="C169" s="2">
        <f>Prev_Pop_Initialisation!C42</f>
        <v>1</v>
      </c>
      <c r="D169" s="2">
        <f>Prev_Pop_Initialisation!D42</f>
        <v>7</v>
      </c>
      <c r="F169">
        <f>SUM(C158:C169)</f>
        <v>12</v>
      </c>
      <c r="G169">
        <f>SUM(D158:D169)</f>
        <v>84</v>
      </c>
    </row>
    <row r="170" spans="1:7">
      <c r="C170" s="2"/>
      <c r="D170" s="2"/>
    </row>
    <row r="171" spans="1:7">
      <c r="A171" t="s">
        <v>133</v>
      </c>
      <c r="C171" s="2"/>
      <c r="D171" s="2"/>
    </row>
    <row r="172" spans="1:7">
      <c r="B172" t="s">
        <v>119</v>
      </c>
      <c r="C172" s="2">
        <f>Prev_Pop_Initialisation!C45</f>
        <v>7</v>
      </c>
      <c r="D172" s="2">
        <f>Prev_Pop_Initialisation!D45</f>
        <v>10</v>
      </c>
    </row>
    <row r="173" spans="1:7">
      <c r="B173" t="s">
        <v>120</v>
      </c>
      <c r="C173" s="2">
        <f>Prev_Pop_Initialisation!C46</f>
        <v>7</v>
      </c>
      <c r="D173" s="2">
        <f>Prev_Pop_Initialisation!D46</f>
        <v>10</v>
      </c>
    </row>
    <row r="174" spans="1:7">
      <c r="B174" t="s">
        <v>121</v>
      </c>
      <c r="C174" s="2">
        <f>Prev_Pop_Initialisation!C47</f>
        <v>7</v>
      </c>
      <c r="D174" s="2">
        <f>Prev_Pop_Initialisation!D47</f>
        <v>10</v>
      </c>
    </row>
    <row r="175" spans="1:7">
      <c r="B175" t="s">
        <v>122</v>
      </c>
      <c r="C175" s="2">
        <f>Prev_Pop_Initialisation!C48</f>
        <v>7</v>
      </c>
      <c r="D175" s="2">
        <f>Prev_Pop_Initialisation!D48</f>
        <v>10</v>
      </c>
    </row>
    <row r="176" spans="1:7">
      <c r="B176" t="s">
        <v>123</v>
      </c>
      <c r="C176" s="2">
        <f>Prev_Pop_Initialisation!C49</f>
        <v>7</v>
      </c>
      <c r="D176" s="2">
        <f>Prev_Pop_Initialisation!D49</f>
        <v>10</v>
      </c>
    </row>
    <row r="177" spans="1:7">
      <c r="B177" t="s">
        <v>124</v>
      </c>
      <c r="C177" s="2">
        <f>Prev_Pop_Initialisation!C50</f>
        <v>7</v>
      </c>
      <c r="D177" s="2">
        <f>Prev_Pop_Initialisation!D50</f>
        <v>10</v>
      </c>
    </row>
    <row r="178" spans="1:7">
      <c r="B178" t="s">
        <v>125</v>
      </c>
      <c r="C178" s="2">
        <f>Prev_Pop_Initialisation!C51</f>
        <v>7</v>
      </c>
      <c r="D178" s="2">
        <f>Prev_Pop_Initialisation!D51</f>
        <v>10</v>
      </c>
    </row>
    <row r="179" spans="1:7">
      <c r="B179" t="s">
        <v>126</v>
      </c>
      <c r="C179" s="2">
        <f>Prev_Pop_Initialisation!C52</f>
        <v>7</v>
      </c>
      <c r="D179" s="2">
        <f>Prev_Pop_Initialisation!D52</f>
        <v>10</v>
      </c>
    </row>
    <row r="180" spans="1:7">
      <c r="B180" t="s">
        <v>127</v>
      </c>
      <c r="C180" s="2">
        <f>Prev_Pop_Initialisation!C53</f>
        <v>7</v>
      </c>
      <c r="D180" s="2">
        <f>Prev_Pop_Initialisation!D53</f>
        <v>10</v>
      </c>
    </row>
    <row r="181" spans="1:7">
      <c r="B181" t="s">
        <v>128</v>
      </c>
      <c r="C181" s="2">
        <f>Prev_Pop_Initialisation!C54</f>
        <v>7</v>
      </c>
      <c r="D181" s="2">
        <f>Prev_Pop_Initialisation!D54</f>
        <v>10</v>
      </c>
    </row>
    <row r="182" spans="1:7">
      <c r="B182" t="s">
        <v>129</v>
      </c>
      <c r="C182" s="2">
        <f>Prev_Pop_Initialisation!C55</f>
        <v>7</v>
      </c>
      <c r="D182" s="2">
        <f>Prev_Pop_Initialisation!D55</f>
        <v>10</v>
      </c>
    </row>
    <row r="183" spans="1:7">
      <c r="B183" t="s">
        <v>130</v>
      </c>
      <c r="C183" s="2">
        <f>Prev_Pop_Initialisation!C56</f>
        <v>7</v>
      </c>
      <c r="D183" s="2">
        <f>Prev_Pop_Initialisation!D56</f>
        <v>10</v>
      </c>
      <c r="F183">
        <f>SUM(C172:C183)</f>
        <v>84</v>
      </c>
      <c r="G183">
        <f>SUM(D172:D183)</f>
        <v>120</v>
      </c>
    </row>
    <row r="184" spans="1:7">
      <c r="C184" s="2"/>
      <c r="D184" s="2"/>
    </row>
    <row r="185" spans="1:7">
      <c r="A185" t="s">
        <v>134</v>
      </c>
      <c r="C185" s="2"/>
      <c r="D185" s="2"/>
    </row>
    <row r="186" spans="1:7">
      <c r="B186" t="s">
        <v>119</v>
      </c>
      <c r="C186" s="2">
        <f>Prev_Pop_Initialisation!C59</f>
        <v>3</v>
      </c>
      <c r="D186" s="2">
        <f>Prev_Pop_Initialisation!D59</f>
        <v>10</v>
      </c>
    </row>
    <row r="187" spans="1:7">
      <c r="B187" t="s">
        <v>120</v>
      </c>
      <c r="C187" s="2">
        <f>Prev_Pop_Initialisation!C60</f>
        <v>3</v>
      </c>
      <c r="D187" s="2">
        <f>Prev_Pop_Initialisation!D60</f>
        <v>10</v>
      </c>
    </row>
    <row r="188" spans="1:7">
      <c r="B188" t="s">
        <v>121</v>
      </c>
      <c r="C188" s="2">
        <f>Prev_Pop_Initialisation!C61</f>
        <v>3</v>
      </c>
      <c r="D188" s="2">
        <f>Prev_Pop_Initialisation!D61</f>
        <v>10</v>
      </c>
    </row>
    <row r="189" spans="1:7">
      <c r="B189" t="s">
        <v>122</v>
      </c>
      <c r="C189" s="2">
        <f>Prev_Pop_Initialisation!C62</f>
        <v>3</v>
      </c>
      <c r="D189" s="2">
        <f>Prev_Pop_Initialisation!D62</f>
        <v>10</v>
      </c>
    </row>
    <row r="190" spans="1:7">
      <c r="B190" t="s">
        <v>123</v>
      </c>
      <c r="C190" s="2">
        <f>Prev_Pop_Initialisation!C63</f>
        <v>3</v>
      </c>
      <c r="D190" s="2">
        <f>Prev_Pop_Initialisation!D63</f>
        <v>10</v>
      </c>
    </row>
    <row r="191" spans="1:7">
      <c r="B191" t="s">
        <v>124</v>
      </c>
      <c r="C191" s="2">
        <f>Prev_Pop_Initialisation!C64</f>
        <v>3</v>
      </c>
      <c r="D191" s="2">
        <f>Prev_Pop_Initialisation!D64</f>
        <v>10</v>
      </c>
    </row>
    <row r="192" spans="1:7">
      <c r="B192" t="s">
        <v>125</v>
      </c>
      <c r="C192" s="2">
        <f>Prev_Pop_Initialisation!C65</f>
        <v>3</v>
      </c>
      <c r="D192" s="2">
        <f>Prev_Pop_Initialisation!D65</f>
        <v>10</v>
      </c>
    </row>
    <row r="193" spans="1:7">
      <c r="B193" t="s">
        <v>126</v>
      </c>
      <c r="C193" s="2">
        <f>Prev_Pop_Initialisation!C66</f>
        <v>3</v>
      </c>
      <c r="D193" s="2">
        <f>Prev_Pop_Initialisation!D66</f>
        <v>10</v>
      </c>
    </row>
    <row r="194" spans="1:7">
      <c r="B194" t="s">
        <v>127</v>
      </c>
      <c r="C194" s="2">
        <f>Prev_Pop_Initialisation!C67</f>
        <v>3</v>
      </c>
      <c r="D194" s="2">
        <f>Prev_Pop_Initialisation!D67</f>
        <v>10</v>
      </c>
    </row>
    <row r="195" spans="1:7">
      <c r="B195" t="s">
        <v>128</v>
      </c>
      <c r="C195" s="2">
        <f>Prev_Pop_Initialisation!C68</f>
        <v>3</v>
      </c>
      <c r="D195" s="2">
        <f>Prev_Pop_Initialisation!D68</f>
        <v>10</v>
      </c>
    </row>
    <row r="196" spans="1:7">
      <c r="B196" t="s">
        <v>129</v>
      </c>
      <c r="C196" s="2">
        <f>Prev_Pop_Initialisation!C69</f>
        <v>3</v>
      </c>
      <c r="D196" s="2">
        <f>Prev_Pop_Initialisation!D69</f>
        <v>10</v>
      </c>
    </row>
    <row r="197" spans="1:7">
      <c r="B197" t="s">
        <v>130</v>
      </c>
      <c r="C197" s="2">
        <f>Prev_Pop_Initialisation!C70</f>
        <v>3</v>
      </c>
      <c r="D197" s="2">
        <f>Prev_Pop_Initialisation!D70</f>
        <v>10</v>
      </c>
      <c r="F197">
        <f>SUM(C186:C197)</f>
        <v>36</v>
      </c>
      <c r="G197">
        <f>SUM(D186:D197)</f>
        <v>120</v>
      </c>
    </row>
    <row r="198" spans="1:7">
      <c r="C198" s="2"/>
      <c r="D198" s="2"/>
    </row>
    <row r="199" spans="1:7">
      <c r="A199" t="s">
        <v>135</v>
      </c>
      <c r="C199" s="2"/>
      <c r="D199" s="2"/>
    </row>
    <row r="200" spans="1:7">
      <c r="B200" t="s">
        <v>119</v>
      </c>
      <c r="C200" s="2">
        <f>Prev_Pop_Initialisation!C73</f>
        <v>10</v>
      </c>
      <c r="D200" s="2">
        <f>Prev_Pop_Initialisation!D73</f>
        <v>25</v>
      </c>
    </row>
    <row r="201" spans="1:7">
      <c r="B201" t="s">
        <v>120</v>
      </c>
      <c r="C201" s="2">
        <f>Prev_Pop_Initialisation!C74</f>
        <v>10</v>
      </c>
      <c r="D201" s="2">
        <f>Prev_Pop_Initialisation!D74</f>
        <v>25</v>
      </c>
    </row>
    <row r="202" spans="1:7">
      <c r="B202" t="s">
        <v>121</v>
      </c>
      <c r="C202" s="2">
        <f>Prev_Pop_Initialisation!C75</f>
        <v>10</v>
      </c>
      <c r="D202" s="2">
        <f>Prev_Pop_Initialisation!D75</f>
        <v>25</v>
      </c>
    </row>
    <row r="203" spans="1:7">
      <c r="B203" t="s">
        <v>122</v>
      </c>
      <c r="C203" s="2">
        <f>Prev_Pop_Initialisation!C76</f>
        <v>10</v>
      </c>
      <c r="D203" s="2">
        <f>Prev_Pop_Initialisation!D76</f>
        <v>25</v>
      </c>
    </row>
    <row r="204" spans="1:7">
      <c r="B204" t="s">
        <v>123</v>
      </c>
      <c r="C204" s="2">
        <f>Prev_Pop_Initialisation!C77</f>
        <v>10</v>
      </c>
      <c r="D204" s="2">
        <f>Prev_Pop_Initialisation!D77</f>
        <v>25</v>
      </c>
    </row>
    <row r="205" spans="1:7">
      <c r="B205" t="s">
        <v>124</v>
      </c>
      <c r="C205" s="2">
        <f>Prev_Pop_Initialisation!C78</f>
        <v>10</v>
      </c>
      <c r="D205" s="2">
        <f>Prev_Pop_Initialisation!D78</f>
        <v>25</v>
      </c>
    </row>
    <row r="206" spans="1:7">
      <c r="B206" t="s">
        <v>125</v>
      </c>
      <c r="C206" s="2">
        <f>Prev_Pop_Initialisation!C79</f>
        <v>10</v>
      </c>
      <c r="D206" s="2">
        <f>Prev_Pop_Initialisation!D79</f>
        <v>25</v>
      </c>
    </row>
    <row r="207" spans="1:7">
      <c r="B207" t="s">
        <v>126</v>
      </c>
      <c r="C207" s="2">
        <f>Prev_Pop_Initialisation!C80</f>
        <v>10</v>
      </c>
      <c r="D207" s="2">
        <f>Prev_Pop_Initialisation!D80</f>
        <v>25</v>
      </c>
    </row>
    <row r="208" spans="1:7">
      <c r="B208" t="s">
        <v>127</v>
      </c>
      <c r="C208" s="2">
        <f>Prev_Pop_Initialisation!C81</f>
        <v>10</v>
      </c>
      <c r="D208" s="2">
        <f>Prev_Pop_Initialisation!D81</f>
        <v>25</v>
      </c>
    </row>
    <row r="209" spans="1:16">
      <c r="B209" t="s">
        <v>128</v>
      </c>
      <c r="C209" s="2">
        <f>Prev_Pop_Initialisation!C82</f>
        <v>10</v>
      </c>
      <c r="D209" s="2">
        <f>Prev_Pop_Initialisation!D82</f>
        <v>25</v>
      </c>
    </row>
    <row r="210" spans="1:16">
      <c r="B210" t="s">
        <v>129</v>
      </c>
      <c r="C210" s="2">
        <f>Prev_Pop_Initialisation!C83</f>
        <v>10</v>
      </c>
      <c r="D210" s="2">
        <f>Prev_Pop_Initialisation!D83</f>
        <v>25</v>
      </c>
    </row>
    <row r="211" spans="1:16">
      <c r="B211" t="s">
        <v>130</v>
      </c>
      <c r="C211" s="2">
        <f>Prev_Pop_Initialisation!C84</f>
        <v>10</v>
      </c>
      <c r="D211" s="2">
        <f>Prev_Pop_Initialisation!D84</f>
        <v>25</v>
      </c>
      <c r="F211">
        <f>SUM(C200:C211)</f>
        <v>120</v>
      </c>
      <c r="G211">
        <f>SUM(D200:D211)</f>
        <v>300</v>
      </c>
    </row>
    <row r="212" spans="1:16">
      <c r="B212" t="s">
        <v>155</v>
      </c>
      <c r="C212">
        <f>SUM(C130:C211)</f>
        <v>372</v>
      </c>
      <c r="D212">
        <f>SUM(D130:D211)</f>
        <v>864</v>
      </c>
    </row>
    <row r="213" spans="1:16" hidden="1">
      <c r="A213" s="1" t="s">
        <v>63</v>
      </c>
    </row>
    <row r="214" spans="1:16" hidden="1">
      <c r="A214" t="e">
        <f>#REF!</f>
        <v>#REF!</v>
      </c>
      <c r="B214" s="85" t="e">
        <f>#REF!</f>
        <v>#REF!</v>
      </c>
      <c r="C214" s="85" t="e">
        <f>#REF!</f>
        <v>#REF!</v>
      </c>
      <c r="D214" s="85" t="e">
        <f>#REF!</f>
        <v>#REF!</v>
      </c>
      <c r="E214" s="85" t="e">
        <f>#REF!</f>
        <v>#REF!</v>
      </c>
      <c r="F214" s="85" t="e">
        <f>#REF!</f>
        <v>#REF!</v>
      </c>
      <c r="G214" s="85" t="e">
        <f>#REF!</f>
        <v>#REF!</v>
      </c>
      <c r="I214" t="e">
        <f>#REF!</f>
        <v>#REF!</v>
      </c>
      <c r="J214" s="85" t="s">
        <v>156</v>
      </c>
      <c r="K214" s="85" t="e">
        <f>#REF!</f>
        <v>#REF!</v>
      </c>
      <c r="M214" s="85" t="e">
        <f>#REF!</f>
        <v>#REF!</v>
      </c>
      <c r="N214" s="85" t="e">
        <f>#REF!</f>
        <v>#REF!</v>
      </c>
      <c r="O214" s="85" t="e">
        <f>#REF!</f>
        <v>#REF!</v>
      </c>
      <c r="P214" s="85" t="e">
        <f>#REF!</f>
        <v>#REF!</v>
      </c>
    </row>
    <row r="215" spans="1:16" hidden="1">
      <c r="A215">
        <v>2009</v>
      </c>
    </row>
    <row r="216" spans="1:16" hidden="1">
      <c r="A216" t="e">
        <f>#REF!</f>
        <v>#REF!</v>
      </c>
      <c r="B216" s="88"/>
      <c r="C216" s="88"/>
      <c r="D216" s="88"/>
      <c r="E216" s="88"/>
      <c r="F216" s="88"/>
      <c r="G216" s="88"/>
    </row>
    <row r="217" spans="1:16" hidden="1">
      <c r="A217" t="e">
        <f>#REF!</f>
        <v>#REF!</v>
      </c>
      <c r="B217" s="88"/>
      <c r="C217" s="88"/>
      <c r="D217" s="88"/>
      <c r="E217" s="88"/>
      <c r="F217" s="88"/>
      <c r="G217" s="88"/>
    </row>
    <row r="218" spans="1:16" hidden="1">
      <c r="A218" t="e">
        <f>#REF!</f>
        <v>#REF!</v>
      </c>
      <c r="B218" s="88"/>
      <c r="C218" s="88"/>
      <c r="D218" s="88"/>
      <c r="E218" s="88"/>
      <c r="F218" s="88"/>
      <c r="G218" s="88"/>
    </row>
    <row r="219" spans="1:16" hidden="1">
      <c r="A219" t="e">
        <f>#REF!</f>
        <v>#REF!</v>
      </c>
      <c r="B219" s="88"/>
      <c r="C219" s="88"/>
      <c r="D219" s="88"/>
      <c r="E219" s="88"/>
      <c r="F219" s="88"/>
      <c r="G219" s="88"/>
    </row>
    <row r="220" spans="1:16" hidden="1">
      <c r="A220" t="e">
        <f>#REF!</f>
        <v>#REF!</v>
      </c>
      <c r="B220" s="88"/>
      <c r="C220" s="88"/>
      <c r="D220" s="88"/>
      <c r="E220" s="88"/>
      <c r="F220" s="88"/>
      <c r="G220" s="88"/>
    </row>
    <row r="221" spans="1:16" hidden="1">
      <c r="A221" t="e">
        <f>#REF!</f>
        <v>#REF!</v>
      </c>
      <c r="B221" s="88"/>
      <c r="C221" s="88"/>
      <c r="D221" s="88"/>
      <c r="E221" s="88"/>
      <c r="F221" s="88"/>
      <c r="G221" s="88"/>
    </row>
    <row r="222" spans="1:16" hidden="1">
      <c r="A222" t="e">
        <f>#REF!</f>
        <v>#REF!</v>
      </c>
      <c r="B222" s="88"/>
      <c r="C222" s="88"/>
      <c r="D222" s="88"/>
      <c r="E222" s="88"/>
      <c r="F222" s="88"/>
      <c r="G222" s="88"/>
    </row>
    <row r="223" spans="1:16" hidden="1">
      <c r="A223" t="e">
        <f>#REF!</f>
        <v>#REF!</v>
      </c>
      <c r="B223" s="88"/>
      <c r="C223" s="88"/>
      <c r="D223" s="88"/>
      <c r="E223" s="88"/>
      <c r="F223" s="88"/>
      <c r="G223" s="88"/>
    </row>
    <row r="224" spans="1:16" hidden="1">
      <c r="A224" t="e">
        <f>#REF!</f>
        <v>#REF!</v>
      </c>
      <c r="B224" s="88"/>
      <c r="C224" s="88"/>
      <c r="D224" s="88"/>
      <c r="E224" s="88"/>
      <c r="F224" s="88"/>
      <c r="G224" s="88"/>
    </row>
    <row r="225" spans="1:7" hidden="1">
      <c r="A225" t="e">
        <f>#REF!</f>
        <v>#REF!</v>
      </c>
      <c r="B225" s="88"/>
      <c r="C225" s="88"/>
      <c r="D225" s="88"/>
      <c r="E225" s="88"/>
      <c r="F225" s="88"/>
      <c r="G225" s="88"/>
    </row>
    <row r="226" spans="1:7" hidden="1">
      <c r="A226" t="e">
        <f>#REF!</f>
        <v>#REF!</v>
      </c>
      <c r="B226" s="88"/>
      <c r="C226" s="88"/>
      <c r="D226" s="88"/>
      <c r="E226" s="88"/>
      <c r="F226" s="88"/>
      <c r="G226" s="88"/>
    </row>
    <row r="227" spans="1:7" hidden="1">
      <c r="A227" t="e">
        <f>#REF!</f>
        <v>#REF!</v>
      </c>
      <c r="B227" s="88"/>
      <c r="C227" s="88"/>
      <c r="D227" s="88"/>
      <c r="E227" s="88"/>
      <c r="F227" s="88"/>
      <c r="G227" s="88"/>
    </row>
    <row r="228" spans="1:7" hidden="1">
      <c r="A228" t="e">
        <f>#REF!</f>
        <v>#REF!</v>
      </c>
      <c r="B228" s="88"/>
      <c r="C228" s="88"/>
      <c r="D228" s="88"/>
      <c r="E228" s="88"/>
      <c r="F228" s="88"/>
      <c r="G228" s="88"/>
    </row>
    <row r="229" spans="1:7" hidden="1"/>
    <row r="232" spans="1:7">
      <c r="A232" s="1" t="s">
        <v>64</v>
      </c>
    </row>
    <row r="233" spans="1:7" ht="15" thickBot="1">
      <c r="A233" t="s">
        <v>172</v>
      </c>
    </row>
    <row r="234" spans="1:7">
      <c r="A234" s="99" t="s">
        <v>179</v>
      </c>
      <c r="B234" s="2">
        <v>1</v>
      </c>
    </row>
    <row r="235" spans="1:7" ht="15" thickBot="1">
      <c r="A235" s="100" t="s">
        <v>154</v>
      </c>
      <c r="B235" s="2">
        <v>1</v>
      </c>
    </row>
    <row r="236" spans="1:7" hidden="1">
      <c r="B236" s="87"/>
    </row>
    <row r="237" spans="1:7" ht="15" thickBot="1">
      <c r="A237" t="s">
        <v>173</v>
      </c>
      <c r="B237" s="1" t="s">
        <v>180</v>
      </c>
      <c r="C237" s="1" t="s">
        <v>181</v>
      </c>
    </row>
    <row r="238" spans="1:7">
      <c r="A238" s="92" t="s">
        <v>169</v>
      </c>
      <c r="B238" s="2">
        <v>1</v>
      </c>
      <c r="C238" s="2">
        <v>1</v>
      </c>
    </row>
    <row r="239" spans="1:7">
      <c r="A239" s="93" t="s">
        <v>170</v>
      </c>
      <c r="B239" s="2">
        <v>1</v>
      </c>
      <c r="C239" s="2">
        <v>1</v>
      </c>
    </row>
    <row r="240" spans="1:7" ht="15" thickBot="1">
      <c r="A240" s="94" t="s">
        <v>171</v>
      </c>
      <c r="B240" s="2">
        <v>1</v>
      </c>
      <c r="C240" s="2">
        <v>1</v>
      </c>
    </row>
    <row r="242" spans="1:3" hidden="1">
      <c r="A242" t="s">
        <v>172</v>
      </c>
    </row>
    <row r="243" spans="1:3" hidden="1">
      <c r="A243" t="s">
        <v>174</v>
      </c>
      <c r="B243" s="87">
        <v>1</v>
      </c>
      <c r="C243" t="s">
        <v>178</v>
      </c>
    </row>
    <row r="244" spans="1:3" hidden="1">
      <c r="A244" t="s">
        <v>175</v>
      </c>
      <c r="B244" s="87">
        <v>1</v>
      </c>
      <c r="C244" t="s">
        <v>178</v>
      </c>
    </row>
    <row r="245" spans="1:3" ht="15" thickBot="1">
      <c r="A245" t="s">
        <v>176</v>
      </c>
      <c r="B245" s="1" t="s">
        <v>180</v>
      </c>
      <c r="C245" s="1" t="s">
        <v>181</v>
      </c>
    </row>
    <row r="246" spans="1:3">
      <c r="A246" s="92" t="s">
        <v>174</v>
      </c>
      <c r="B246" s="2">
        <v>1</v>
      </c>
      <c r="C246" s="2">
        <v>1</v>
      </c>
    </row>
    <row r="247" spans="1:3" ht="15" thickBot="1">
      <c r="A247" s="94" t="s">
        <v>175</v>
      </c>
      <c r="B247" s="2">
        <v>1</v>
      </c>
      <c r="C247" s="2">
        <v>1</v>
      </c>
    </row>
    <row r="249" spans="1:3" ht="15" thickBot="1">
      <c r="A249" t="s">
        <v>177</v>
      </c>
      <c r="B249" s="1" t="s">
        <v>180</v>
      </c>
      <c r="C249" s="1" t="s">
        <v>181</v>
      </c>
    </row>
    <row r="250" spans="1:3">
      <c r="A250" s="92" t="s">
        <v>174</v>
      </c>
      <c r="B250" s="2">
        <v>1</v>
      </c>
      <c r="C250" s="2">
        <v>1</v>
      </c>
    </row>
    <row r="251" spans="1:3" ht="15" thickBot="1">
      <c r="A251" s="94" t="s">
        <v>175</v>
      </c>
      <c r="B251" s="2">
        <v>1</v>
      </c>
      <c r="C251" s="2">
        <v>1</v>
      </c>
    </row>
  </sheetData>
  <mergeCells count="19">
    <mergeCell ref="AD69:AF69"/>
    <mergeCell ref="AG69:AI69"/>
    <mergeCell ref="AJ69:AL69"/>
    <mergeCell ref="AM69:AO69"/>
    <mergeCell ref="AP69:AR69"/>
    <mergeCell ref="C104:E104"/>
    <mergeCell ref="P45:AB45"/>
    <mergeCell ref="B69:E69"/>
    <mergeCell ref="C45:O45"/>
    <mergeCell ref="B14:N14"/>
    <mergeCell ref="B19:N19"/>
    <mergeCell ref="F69:H69"/>
    <mergeCell ref="I69:K69"/>
    <mergeCell ref="L69:N69"/>
    <mergeCell ref="O69:Q69"/>
    <mergeCell ref="R69:T69"/>
    <mergeCell ref="U69:W69"/>
    <mergeCell ref="X69:Z69"/>
    <mergeCell ref="AA69:AC6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93"/>
  <sheetViews>
    <sheetView showGridLines="0" tabSelected="1" topLeftCell="A54" zoomScale="70" zoomScaleNormal="70" workbookViewId="0">
      <selection activeCell="H77" sqref="H77"/>
    </sheetView>
  </sheetViews>
  <sheetFormatPr defaultColWidth="9.6640625" defaultRowHeight="15"/>
  <cols>
    <col min="1" max="3" width="10.109375" style="9" customWidth="1"/>
    <col min="4" max="4" width="16.5546875" style="9" customWidth="1"/>
    <col min="5" max="5" width="23.109375" style="9" customWidth="1"/>
    <col min="6" max="6" width="14.44140625" style="9" customWidth="1"/>
    <col min="7" max="12" width="10.109375" style="9" customWidth="1"/>
    <col min="13" max="13" width="10.6640625" style="9" customWidth="1"/>
    <col min="14" max="14" width="13.21875" style="9" customWidth="1"/>
    <col min="15" max="15" width="10.109375" style="9" customWidth="1"/>
    <col min="16" max="16" width="10.33203125" style="9" customWidth="1"/>
    <col min="17" max="27" width="10.109375" style="9" customWidth="1"/>
    <col min="28" max="16384" width="9.6640625" style="9"/>
  </cols>
  <sheetData>
    <row r="14" spans="3:24" ht="24.6">
      <c r="C14" s="7" t="s">
        <v>0</v>
      </c>
      <c r="D14" s="8"/>
      <c r="E14" s="8"/>
      <c r="F14" s="8"/>
      <c r="G14" s="8"/>
      <c r="H14" s="8"/>
      <c r="I14" s="8"/>
      <c r="J14" s="8"/>
      <c r="K14" s="8"/>
      <c r="L14" s="8"/>
      <c r="M14" s="8"/>
      <c r="N14" s="8"/>
      <c r="O14" s="8"/>
      <c r="P14" s="8"/>
      <c r="Q14" s="8"/>
      <c r="R14" s="8"/>
      <c r="S14" s="8"/>
      <c r="T14" s="8"/>
      <c r="U14" s="8"/>
      <c r="V14" s="8"/>
      <c r="W14" s="8"/>
      <c r="X14" s="8"/>
    </row>
    <row r="16" spans="3:24" ht="19.2">
      <c r="C16" s="33" t="s">
        <v>1</v>
      </c>
      <c r="D16" s="10"/>
      <c r="E16" s="10"/>
      <c r="F16" s="10"/>
      <c r="G16" s="10"/>
      <c r="H16" s="10"/>
      <c r="I16" s="10"/>
      <c r="J16" s="10"/>
      <c r="K16" s="10"/>
      <c r="L16" s="10"/>
      <c r="M16" s="6"/>
      <c r="N16" s="33" t="s">
        <v>2</v>
      </c>
      <c r="O16" s="10"/>
      <c r="P16" s="10"/>
      <c r="Q16" s="10"/>
      <c r="R16" s="10"/>
      <c r="S16" s="10"/>
      <c r="T16" s="10"/>
      <c r="U16" s="10"/>
      <c r="V16" s="10"/>
      <c r="W16" s="10"/>
      <c r="X16" s="10"/>
    </row>
    <row r="17" spans="3:24" ht="7.95" customHeight="1">
      <c r="C17" s="6"/>
      <c r="D17" s="6"/>
      <c r="E17" s="6"/>
      <c r="F17" s="6"/>
      <c r="G17" s="6"/>
      <c r="H17" s="6"/>
      <c r="I17" s="6"/>
      <c r="J17" s="6"/>
      <c r="K17" s="6"/>
      <c r="L17" s="6"/>
      <c r="M17" s="6"/>
      <c r="N17" s="6"/>
      <c r="O17" s="6"/>
      <c r="P17" s="6"/>
      <c r="Q17" s="6"/>
      <c r="R17" s="6"/>
      <c r="S17" s="6"/>
      <c r="T17" s="6"/>
      <c r="U17" s="6"/>
      <c r="V17" s="6"/>
      <c r="W17" s="6"/>
      <c r="X17" s="6"/>
    </row>
    <row r="18" spans="3:24" s="12" customFormat="1" ht="58.95" customHeight="1">
      <c r="C18" s="113" t="s">
        <v>3</v>
      </c>
      <c r="D18" s="119"/>
      <c r="E18" s="119"/>
      <c r="F18" s="119"/>
      <c r="G18" s="119"/>
      <c r="H18" s="119"/>
      <c r="I18" s="119"/>
      <c r="J18" s="119"/>
      <c r="K18" s="119"/>
      <c r="L18" s="119"/>
      <c r="M18" s="11"/>
      <c r="N18" s="113" t="s">
        <v>73</v>
      </c>
      <c r="O18" s="113"/>
      <c r="P18" s="113"/>
      <c r="Q18" s="113"/>
      <c r="R18" s="113"/>
      <c r="S18" s="113"/>
      <c r="T18" s="113"/>
      <c r="U18" s="113"/>
      <c r="V18" s="113"/>
      <c r="W18" s="113"/>
      <c r="X18" s="113"/>
    </row>
    <row r="19" spans="3:24" s="15" customFormat="1" ht="6.6" customHeight="1">
      <c r="C19" s="13"/>
      <c r="D19" s="13"/>
      <c r="E19" s="13"/>
      <c r="F19" s="13"/>
      <c r="G19" s="13"/>
      <c r="H19" s="13"/>
      <c r="I19" s="13"/>
      <c r="J19" s="13"/>
      <c r="K19" s="13"/>
      <c r="L19" s="13"/>
      <c r="M19" s="13"/>
      <c r="N19" s="14"/>
      <c r="O19" s="13"/>
      <c r="P19" s="13"/>
      <c r="Q19" s="13"/>
      <c r="R19" s="13"/>
      <c r="S19" s="13"/>
      <c r="T19" s="13"/>
      <c r="U19" s="13"/>
      <c r="V19" s="13"/>
      <c r="W19" s="13"/>
      <c r="X19" s="13"/>
    </row>
    <row r="20" spans="3:24" ht="16.8">
      <c r="C20" s="6" t="s">
        <v>4</v>
      </c>
      <c r="D20" s="6"/>
      <c r="E20" s="6"/>
      <c r="F20" s="120" t="s">
        <v>183</v>
      </c>
      <c r="G20" s="120"/>
      <c r="H20" s="120"/>
      <c r="I20" s="120"/>
      <c r="J20" s="120"/>
      <c r="K20" s="120"/>
      <c r="L20" s="120"/>
      <c r="M20" s="6"/>
      <c r="N20" s="16"/>
      <c r="O20" s="16"/>
      <c r="P20" s="16"/>
      <c r="Q20" s="16"/>
      <c r="R20" s="121"/>
      <c r="S20" s="121"/>
      <c r="T20" s="121"/>
      <c r="U20" s="121"/>
      <c r="V20" s="121"/>
      <c r="W20" s="121"/>
      <c r="X20" s="121"/>
    </row>
    <row r="21" spans="3:24" ht="16.8">
      <c r="C21" s="6" t="s">
        <v>5</v>
      </c>
      <c r="D21" s="6"/>
      <c r="E21" s="6"/>
      <c r="F21" s="120" t="s">
        <v>184</v>
      </c>
      <c r="G21" s="120"/>
      <c r="H21" s="120"/>
      <c r="I21" s="120"/>
      <c r="J21" s="120"/>
      <c r="K21" s="120"/>
      <c r="L21" s="120"/>
      <c r="M21" s="6"/>
      <c r="N21" s="6" t="s">
        <v>6</v>
      </c>
      <c r="O21" s="6"/>
      <c r="P21" s="6"/>
      <c r="Q21" s="6"/>
      <c r="R21" s="122">
        <v>2023</v>
      </c>
      <c r="S21" s="123"/>
      <c r="T21" s="123"/>
      <c r="U21" s="123"/>
      <c r="V21" s="123"/>
      <c r="W21" s="123"/>
      <c r="X21" s="124"/>
    </row>
    <row r="22" spans="3:24" ht="16.8" hidden="1" customHeight="1">
      <c r="C22" s="6" t="s">
        <v>7</v>
      </c>
      <c r="D22" s="6"/>
      <c r="E22" s="6"/>
      <c r="F22" s="120" t="s">
        <v>8</v>
      </c>
      <c r="G22" s="120"/>
      <c r="H22" s="120"/>
      <c r="I22" s="120"/>
      <c r="J22" s="120"/>
      <c r="K22" s="120"/>
      <c r="L22" s="120"/>
      <c r="M22" s="6"/>
    </row>
    <row r="23" spans="3:24" ht="16.8">
      <c r="C23" s="6" t="s">
        <v>9</v>
      </c>
      <c r="D23" s="6"/>
      <c r="E23" s="6"/>
      <c r="F23" s="120" t="s">
        <v>10</v>
      </c>
      <c r="G23" s="120"/>
      <c r="H23" s="120"/>
      <c r="I23" s="120"/>
      <c r="J23" s="120"/>
      <c r="K23" s="120"/>
      <c r="L23" s="120"/>
      <c r="M23" s="6"/>
      <c r="N23" s="6" t="s">
        <v>11</v>
      </c>
      <c r="O23" s="6"/>
      <c r="P23" s="6"/>
      <c r="Q23" s="6"/>
      <c r="R23" s="125">
        <v>2035</v>
      </c>
      <c r="S23" s="126"/>
      <c r="T23" s="126"/>
      <c r="U23" s="126"/>
      <c r="V23" s="126"/>
      <c r="W23" s="126"/>
      <c r="X23" s="127"/>
    </row>
    <row r="24" spans="3:24" ht="16.8">
      <c r="C24" s="54"/>
      <c r="D24" s="54"/>
      <c r="E24" s="55"/>
      <c r="F24" s="54"/>
      <c r="G24" s="56"/>
      <c r="H24" s="54"/>
      <c r="I24" s="56"/>
      <c r="J24" s="56"/>
      <c r="K24" s="56"/>
      <c r="L24" s="56"/>
      <c r="M24" s="6"/>
      <c r="N24" s="6"/>
      <c r="O24" s="6"/>
      <c r="P24" s="6"/>
      <c r="Q24" s="6"/>
      <c r="R24" s="17"/>
      <c r="S24" s="17"/>
      <c r="T24" s="17"/>
      <c r="U24" s="17"/>
      <c r="V24" s="17"/>
      <c r="W24" s="17"/>
      <c r="X24" s="17"/>
    </row>
    <row r="25" spans="3:24" ht="16.95" hidden="1" customHeight="1">
      <c r="C25" s="6"/>
      <c r="D25" s="6"/>
      <c r="E25" s="6"/>
      <c r="G25" s="6"/>
      <c r="H25" s="6"/>
      <c r="I25" s="13"/>
      <c r="J25" s="13"/>
      <c r="K25" s="13"/>
      <c r="L25" s="13"/>
      <c r="M25" s="6"/>
      <c r="N25" s="33" t="s">
        <v>12</v>
      </c>
      <c r="O25" s="10"/>
      <c r="P25" s="10"/>
      <c r="Q25" s="10"/>
      <c r="R25" s="10"/>
      <c r="S25" s="8"/>
      <c r="T25" s="128" t="s">
        <v>13</v>
      </c>
      <c r="U25" s="128"/>
      <c r="V25" s="129" t="s">
        <v>14</v>
      </c>
      <c r="W25" s="130"/>
      <c r="X25" s="130"/>
    </row>
    <row r="26" spans="3:24" ht="16.8" hidden="1" customHeight="1">
      <c r="C26" s="6"/>
      <c r="D26" s="6"/>
      <c r="E26" s="6"/>
      <c r="G26" s="6"/>
      <c r="H26" s="6"/>
      <c r="I26" s="6"/>
      <c r="J26" s="6"/>
      <c r="K26" s="6"/>
      <c r="L26" s="6"/>
      <c r="M26" s="6"/>
      <c r="N26" s="6" t="str">
        <f>C48</f>
        <v>Change in HHD allocation probability</v>
      </c>
      <c r="O26" s="6"/>
      <c r="P26" s="6"/>
      <c r="Q26" s="6"/>
      <c r="R26" s="6"/>
      <c r="T26" s="114">
        <f>G48</f>
        <v>0.02</v>
      </c>
      <c r="U26" s="115"/>
      <c r="V26" s="116">
        <f>K48</f>
        <v>0</v>
      </c>
      <c r="W26" s="117"/>
      <c r="X26" s="118"/>
    </row>
    <row r="27" spans="3:24" ht="16.8" hidden="1" customHeight="1">
      <c r="C27" s="6"/>
      <c r="D27" s="6"/>
      <c r="E27" s="6"/>
      <c r="F27" s="6"/>
      <c r="G27" s="6"/>
      <c r="H27" s="6"/>
      <c r="I27" s="6"/>
      <c r="J27" s="6"/>
      <c r="K27" s="6"/>
      <c r="L27" s="6"/>
      <c r="M27" s="6"/>
      <c r="N27" s="6" t="str">
        <f>C49</f>
        <v>Change in PD allocation probability</v>
      </c>
      <c r="O27" s="6"/>
      <c r="P27" s="6"/>
      <c r="Q27" s="6"/>
      <c r="R27" s="6"/>
      <c r="T27" s="114">
        <f>G49</f>
        <v>0.28999999999999998</v>
      </c>
      <c r="U27" s="115"/>
      <c r="V27" s="116">
        <f>K49</f>
        <v>0</v>
      </c>
      <c r="W27" s="117"/>
      <c r="X27" s="118"/>
    </row>
    <row r="28" spans="3:24" ht="16.8" hidden="1" customHeight="1">
      <c r="C28" s="6"/>
      <c r="D28" s="6"/>
      <c r="E28" s="6"/>
      <c r="F28" s="6"/>
      <c r="G28" s="6"/>
      <c r="H28" s="6"/>
      <c r="I28" s="6"/>
      <c r="J28" s="6"/>
      <c r="K28" s="6"/>
      <c r="L28" s="6"/>
      <c r="M28" s="6"/>
      <c r="N28" s="6" t="e">
        <f>#REF!</f>
        <v>#REF!</v>
      </c>
      <c r="O28" s="6"/>
      <c r="P28" s="6"/>
      <c r="Q28" s="6"/>
      <c r="R28" s="6"/>
      <c r="T28" s="114" t="e">
        <f>#REF!</f>
        <v>#REF!</v>
      </c>
      <c r="U28" s="115"/>
      <c r="V28" s="116" t="e">
        <f>#REF!</f>
        <v>#REF!</v>
      </c>
      <c r="W28" s="117"/>
      <c r="X28" s="118"/>
    </row>
    <row r="29" spans="3:24" ht="16.8" hidden="1" customHeight="1">
      <c r="C29" s="6"/>
      <c r="D29" s="6"/>
      <c r="E29" s="6"/>
      <c r="F29" s="6"/>
      <c r="G29" s="6"/>
      <c r="H29" s="6"/>
      <c r="I29" s="6"/>
      <c r="J29" s="6"/>
      <c r="K29" s="6"/>
      <c r="L29" s="6"/>
      <c r="M29" s="6"/>
      <c r="N29" s="6" t="e">
        <f>#REF!</f>
        <v>#REF!</v>
      </c>
      <c r="O29" s="6"/>
      <c r="P29" s="6"/>
      <c r="Q29" s="6"/>
      <c r="R29" s="6"/>
      <c r="T29" s="114" t="e">
        <f>#REF!</f>
        <v>#REF!</v>
      </c>
      <c r="U29" s="115"/>
      <c r="V29" s="116" t="e">
        <f>#REF!</f>
        <v>#REF!</v>
      </c>
      <c r="W29" s="117"/>
      <c r="X29" s="118"/>
    </row>
    <row r="30" spans="3:24" ht="16.8" hidden="1" customHeight="1">
      <c r="C30" s="6"/>
      <c r="D30" s="6"/>
      <c r="E30" s="6"/>
      <c r="F30" s="6"/>
      <c r="G30" s="6"/>
      <c r="H30" s="6"/>
      <c r="I30" s="6"/>
      <c r="J30" s="6"/>
      <c r="K30" s="6"/>
      <c r="L30" s="6"/>
      <c r="M30" s="6"/>
      <c r="N30" s="6" t="str">
        <f>C72</f>
        <v>Change in probability of receiving a transplant</v>
      </c>
      <c r="O30" s="6"/>
      <c r="P30" s="6"/>
      <c r="Q30" s="6"/>
      <c r="R30" s="6"/>
      <c r="T30" s="114">
        <f>G72</f>
        <v>0.55000000000000004</v>
      </c>
      <c r="U30" s="115"/>
      <c r="V30" s="116">
        <f>K72</f>
        <v>0</v>
      </c>
      <c r="W30" s="117"/>
      <c r="X30" s="118"/>
    </row>
    <row r="31" spans="3:24" ht="16.8" hidden="1" customHeight="1">
      <c r="C31" s="6"/>
      <c r="D31" s="6"/>
      <c r="E31" s="6"/>
      <c r="F31" s="6"/>
      <c r="G31" s="6"/>
      <c r="H31" s="6"/>
      <c r="I31" s="6"/>
      <c r="J31" s="6"/>
      <c r="K31" s="6"/>
      <c r="L31" s="6"/>
      <c r="M31" s="6"/>
      <c r="N31" s="6" t="str">
        <f>C73</f>
        <v>Change in probability of (early patient) pre-emptive live transplant</v>
      </c>
      <c r="O31" s="6"/>
      <c r="P31" s="6"/>
      <c r="Q31" s="6"/>
      <c r="R31" s="6"/>
      <c r="T31" s="131">
        <f>G73</f>
        <v>0.3</v>
      </c>
      <c r="U31" s="132"/>
      <c r="V31" s="133">
        <f>K73</f>
        <v>0</v>
      </c>
      <c r="W31" s="134"/>
      <c r="X31" s="135"/>
    </row>
    <row r="32" spans="3:24" ht="16.8">
      <c r="C32" s="6"/>
      <c r="D32" s="6"/>
      <c r="E32" s="6"/>
      <c r="F32" s="6"/>
      <c r="G32" s="6"/>
      <c r="H32" s="6"/>
      <c r="I32" s="6"/>
      <c r="J32" s="6"/>
      <c r="K32" s="6"/>
      <c r="L32" s="6"/>
      <c r="M32" s="6"/>
      <c r="N32" s="6"/>
      <c r="O32" s="6"/>
      <c r="P32" s="6"/>
      <c r="Q32" s="6"/>
      <c r="R32" s="6"/>
      <c r="T32" s="74"/>
      <c r="U32" s="75"/>
      <c r="V32" s="76"/>
      <c r="W32" s="76"/>
      <c r="X32" s="76"/>
    </row>
    <row r="33" spans="3:36" ht="24.6">
      <c r="C33" s="7" t="s">
        <v>138</v>
      </c>
      <c r="D33" s="10"/>
      <c r="E33" s="10"/>
      <c r="F33" s="10"/>
      <c r="G33" s="10"/>
      <c r="H33" s="10"/>
      <c r="I33" s="10"/>
      <c r="J33" s="10"/>
      <c r="K33" s="10"/>
      <c r="L33" s="10"/>
      <c r="M33" s="10"/>
      <c r="N33" s="10"/>
      <c r="O33" s="10"/>
      <c r="P33" s="10"/>
      <c r="Q33" s="10"/>
      <c r="R33" s="10"/>
      <c r="S33" s="10"/>
      <c r="T33" s="10"/>
      <c r="U33" s="10"/>
      <c r="V33" s="10"/>
      <c r="W33" s="10"/>
      <c r="X33" s="10"/>
    </row>
    <row r="34" spans="3:36" ht="16.8">
      <c r="C34" s="6"/>
      <c r="D34" s="6"/>
      <c r="E34" s="6"/>
      <c r="F34" s="6"/>
      <c r="G34" s="6"/>
      <c r="H34" s="6"/>
      <c r="I34" s="6"/>
      <c r="J34" s="6"/>
      <c r="K34" s="6"/>
      <c r="L34" s="6"/>
      <c r="M34" s="6"/>
      <c r="N34" s="6"/>
      <c r="O34" s="6"/>
      <c r="P34" s="6"/>
      <c r="Q34" s="6"/>
      <c r="R34" s="6"/>
      <c r="T34" s="74"/>
      <c r="U34" s="75"/>
      <c r="V34" s="76"/>
      <c r="W34" s="76"/>
      <c r="X34" s="76"/>
    </row>
    <row r="35" spans="3:36" ht="39.6" customHeight="1">
      <c r="C35" s="113" t="s">
        <v>142</v>
      </c>
      <c r="D35" s="113"/>
      <c r="E35" s="113"/>
      <c r="F35" s="113"/>
      <c r="G35" s="113"/>
      <c r="H35" s="113"/>
      <c r="I35" s="113"/>
      <c r="J35" s="113"/>
      <c r="K35" s="113"/>
      <c r="L35" s="113"/>
      <c r="M35" s="6"/>
      <c r="N35" s="6"/>
      <c r="O35" s="6"/>
      <c r="P35" s="6"/>
      <c r="Q35" s="6"/>
      <c r="R35" s="6"/>
      <c r="T35" s="74"/>
      <c r="U35" s="75"/>
      <c r="V35" s="76"/>
      <c r="W35" s="76"/>
      <c r="X35" s="76"/>
    </row>
    <row r="36" spans="3:36" ht="16.8">
      <c r="C36" s="6"/>
      <c r="D36" s="6"/>
      <c r="E36" s="6"/>
      <c r="F36" s="6"/>
      <c r="G36" s="138" t="s">
        <v>139</v>
      </c>
      <c r="H36" s="138"/>
      <c r="I36" s="128" t="s">
        <v>58</v>
      </c>
      <c r="J36" s="128"/>
      <c r="K36" s="128"/>
      <c r="L36" s="128"/>
      <c r="M36" s="128"/>
      <c r="N36" s="128"/>
      <c r="O36" s="128"/>
      <c r="P36" s="128"/>
      <c r="Q36" s="128"/>
      <c r="R36" s="128"/>
      <c r="S36" s="128"/>
      <c r="T36" s="128"/>
      <c r="U36" s="128"/>
      <c r="V36" s="76"/>
      <c r="W36" s="76"/>
      <c r="X36" s="76"/>
    </row>
    <row r="37" spans="3:36" ht="16.8" customHeight="1">
      <c r="C37" s="6"/>
      <c r="D37" s="6"/>
      <c r="E37" s="6"/>
      <c r="F37" s="6"/>
      <c r="G37" s="139"/>
      <c r="H37" s="139"/>
      <c r="I37" s="78">
        <v>2023</v>
      </c>
      <c r="J37" s="78">
        <v>2024</v>
      </c>
      <c r="K37" s="78">
        <v>2025</v>
      </c>
      <c r="L37" s="78">
        <v>2026</v>
      </c>
      <c r="M37" s="78">
        <v>2027</v>
      </c>
      <c r="N37" s="78">
        <v>2028</v>
      </c>
      <c r="O37" s="78">
        <v>2029</v>
      </c>
      <c r="P37" s="78">
        <v>2030</v>
      </c>
      <c r="Q37" s="78">
        <v>2031</v>
      </c>
      <c r="R37" s="78">
        <v>2032</v>
      </c>
      <c r="S37" s="78">
        <v>2033</v>
      </c>
      <c r="T37" s="79">
        <v>2034</v>
      </c>
      <c r="U37" s="79">
        <v>2035</v>
      </c>
      <c r="V37" s="76"/>
      <c r="W37" s="76"/>
      <c r="X37" s="76"/>
    </row>
    <row r="38" spans="3:36" ht="16.8">
      <c r="C38" s="19" t="s">
        <v>138</v>
      </c>
      <c r="D38" s="19"/>
      <c r="E38" s="19"/>
      <c r="F38" s="19"/>
      <c r="G38" s="136">
        <v>1</v>
      </c>
      <c r="H38" s="137"/>
      <c r="I38" s="80"/>
      <c r="J38" s="80"/>
      <c r="K38" s="80"/>
      <c r="L38" s="80"/>
      <c r="M38" s="80"/>
      <c r="N38" s="80"/>
      <c r="O38" s="80"/>
      <c r="P38" s="80"/>
      <c r="Q38" s="80"/>
      <c r="R38" s="80"/>
      <c r="S38" s="80"/>
      <c r="T38" s="80"/>
      <c r="U38" s="80"/>
      <c r="V38" s="76"/>
      <c r="W38" s="76"/>
      <c r="X38" s="76"/>
    </row>
    <row r="39" spans="3:36" ht="16.8">
      <c r="C39" s="6"/>
      <c r="D39" s="6"/>
      <c r="E39" s="6"/>
      <c r="F39" s="6"/>
      <c r="G39" s="77"/>
      <c r="H39" s="77"/>
      <c r="I39" s="6"/>
      <c r="J39" s="6"/>
      <c r="K39" s="6"/>
      <c r="L39" s="6"/>
      <c r="M39" s="6"/>
      <c r="N39" s="6"/>
      <c r="O39" s="6"/>
      <c r="P39" s="6"/>
      <c r="Q39" s="6"/>
      <c r="R39" s="6"/>
      <c r="T39" s="74"/>
      <c r="U39" s="75"/>
      <c r="V39" s="76"/>
      <c r="W39" s="76"/>
      <c r="X39" s="76"/>
    </row>
    <row r="40" spans="3:36" ht="24.6">
      <c r="C40" s="7" t="s">
        <v>15</v>
      </c>
      <c r="D40" s="10"/>
      <c r="E40" s="10"/>
      <c r="F40" s="10"/>
      <c r="G40" s="10"/>
      <c r="H40" s="10"/>
      <c r="I40" s="10"/>
      <c r="J40" s="10"/>
      <c r="K40" s="10"/>
      <c r="L40" s="10"/>
      <c r="M40" s="10"/>
      <c r="N40" s="10"/>
      <c r="O40" s="10"/>
      <c r="P40" s="10"/>
      <c r="Q40" s="10"/>
      <c r="R40" s="10"/>
      <c r="S40" s="10"/>
      <c r="T40" s="10"/>
      <c r="U40" s="10"/>
      <c r="V40" s="10"/>
      <c r="W40" s="10"/>
      <c r="X40" s="10"/>
    </row>
    <row r="41" spans="3:36" ht="16.8">
      <c r="C41" s="6"/>
      <c r="D41" s="6"/>
      <c r="E41" s="6"/>
      <c r="F41" s="6"/>
      <c r="G41" s="6"/>
      <c r="H41" s="6"/>
      <c r="I41" s="6"/>
      <c r="J41" s="6"/>
      <c r="K41" s="6"/>
      <c r="L41" s="6"/>
      <c r="M41" s="6"/>
      <c r="N41" s="6"/>
      <c r="O41" s="6"/>
      <c r="P41" s="6"/>
      <c r="Q41" s="6"/>
      <c r="R41" s="6"/>
      <c r="S41" s="6"/>
      <c r="T41" s="6"/>
      <c r="U41" s="6"/>
      <c r="V41" s="6"/>
      <c r="W41" s="6"/>
      <c r="X41" s="6"/>
    </row>
    <row r="42" spans="3:36" ht="19.2">
      <c r="C42" s="32" t="s">
        <v>16</v>
      </c>
      <c r="D42" s="10"/>
      <c r="E42" s="10"/>
      <c r="F42" s="10"/>
      <c r="G42" s="10"/>
      <c r="H42" s="10"/>
      <c r="I42" s="10"/>
      <c r="J42" s="10"/>
      <c r="K42" s="10"/>
      <c r="L42" s="10"/>
      <c r="M42" s="6"/>
      <c r="Y42" s="33" t="s">
        <v>151</v>
      </c>
      <c r="Z42" s="10"/>
      <c r="AA42" s="10"/>
      <c r="AB42" s="10"/>
      <c r="AC42" s="10"/>
      <c r="AD42" s="10"/>
      <c r="AE42" s="10"/>
      <c r="AF42" s="10"/>
      <c r="AG42" s="10"/>
      <c r="AH42" s="10"/>
      <c r="AI42" s="10"/>
      <c r="AJ42" s="10"/>
    </row>
    <row r="43" spans="3:36" ht="5.4" customHeight="1">
      <c r="C43" s="6"/>
      <c r="D43" s="6"/>
      <c r="E43" s="6"/>
      <c r="F43" s="6"/>
      <c r="G43" s="6"/>
      <c r="H43" s="6"/>
      <c r="I43" s="6"/>
      <c r="J43" s="6"/>
      <c r="K43" s="6"/>
      <c r="L43" s="6"/>
      <c r="M43" s="6"/>
      <c r="Y43" s="6"/>
      <c r="Z43" s="6"/>
      <c r="AA43" s="6"/>
      <c r="AB43" s="6"/>
      <c r="AC43" s="6"/>
      <c r="AD43" s="6"/>
      <c r="AE43" s="6"/>
      <c r="AF43" s="6"/>
      <c r="AG43" s="6"/>
      <c r="AH43" s="6"/>
      <c r="AI43" s="6"/>
      <c r="AJ43" s="6"/>
    </row>
    <row r="44" spans="3:36" ht="71.400000000000006" customHeight="1">
      <c r="C44" s="113" t="s">
        <v>140</v>
      </c>
      <c r="D44" s="113"/>
      <c r="E44" s="113"/>
      <c r="F44" s="113"/>
      <c r="G44" s="113"/>
      <c r="H44" s="113"/>
      <c r="I44" s="113"/>
      <c r="J44" s="113"/>
      <c r="K44" s="113"/>
      <c r="L44" s="113"/>
      <c r="M44" s="18"/>
      <c r="Y44" s="113" t="s">
        <v>152</v>
      </c>
      <c r="Z44" s="113"/>
      <c r="AA44" s="113"/>
      <c r="AB44" s="113"/>
      <c r="AC44" s="113"/>
      <c r="AD44" s="113"/>
      <c r="AE44" s="113"/>
      <c r="AF44" s="113"/>
      <c r="AG44" s="113"/>
      <c r="AH44" s="113"/>
      <c r="AI44" s="113"/>
      <c r="AJ44" s="113"/>
    </row>
    <row r="45" spans="3:36" ht="15" customHeight="1">
      <c r="C45" s="60"/>
      <c r="D45" s="60"/>
      <c r="E45" s="60"/>
      <c r="F45" s="60"/>
      <c r="G45" s="60"/>
      <c r="H45" s="60"/>
      <c r="I45" s="60"/>
      <c r="J45" s="60"/>
      <c r="K45" s="60"/>
      <c r="L45" s="60"/>
      <c r="M45" s="18"/>
    </row>
    <row r="46" spans="3:36" ht="16.8">
      <c r="C46" s="6"/>
      <c r="D46" s="6"/>
      <c r="E46" s="6"/>
      <c r="F46" s="6"/>
      <c r="G46" s="138" t="s">
        <v>17</v>
      </c>
      <c r="H46" s="138"/>
      <c r="I46" s="149" t="s">
        <v>88</v>
      </c>
      <c r="J46" s="149"/>
      <c r="K46" s="149"/>
      <c r="L46" s="149"/>
      <c r="M46" s="149"/>
      <c r="N46" s="149"/>
      <c r="O46" s="149"/>
      <c r="P46" s="149"/>
      <c r="Q46" s="149"/>
      <c r="R46" s="149"/>
      <c r="S46" s="149"/>
      <c r="T46" s="149"/>
      <c r="U46" s="149"/>
      <c r="V46" s="6"/>
      <c r="W46" s="6"/>
      <c r="X46" s="6"/>
      <c r="Y46" s="29"/>
      <c r="Z46" s="29"/>
      <c r="AA46" s="29"/>
      <c r="AB46" s="29"/>
      <c r="AC46" s="29"/>
      <c r="AD46" s="29"/>
      <c r="AE46" s="29"/>
      <c r="AF46" s="29"/>
      <c r="AG46" s="29"/>
      <c r="AH46" s="29"/>
      <c r="AI46" s="29"/>
      <c r="AJ46" s="29"/>
    </row>
    <row r="47" spans="3:36" s="29" customFormat="1" ht="16.8">
      <c r="C47" s="28"/>
      <c r="D47" s="28"/>
      <c r="E47" s="28"/>
      <c r="F47" s="28"/>
      <c r="G47" s="139"/>
      <c r="H47" s="139"/>
      <c r="I47">
        <f>R21</f>
        <v>2023</v>
      </c>
      <c r="J47">
        <f>I47+1</f>
        <v>2024</v>
      </c>
      <c r="K47">
        <f t="shared" ref="K47:U47" si="0">J47+1</f>
        <v>2025</v>
      </c>
      <c r="L47">
        <f t="shared" si="0"/>
        <v>2026</v>
      </c>
      <c r="M47">
        <f t="shared" si="0"/>
        <v>2027</v>
      </c>
      <c r="N47">
        <f t="shared" si="0"/>
        <v>2028</v>
      </c>
      <c r="O47">
        <f t="shared" si="0"/>
        <v>2029</v>
      </c>
      <c r="P47">
        <f t="shared" si="0"/>
        <v>2030</v>
      </c>
      <c r="Q47">
        <f t="shared" si="0"/>
        <v>2031</v>
      </c>
      <c r="R47">
        <f t="shared" si="0"/>
        <v>2032</v>
      </c>
      <c r="S47">
        <f t="shared" si="0"/>
        <v>2033</v>
      </c>
      <c r="T47">
        <f t="shared" si="0"/>
        <v>2034</v>
      </c>
      <c r="U47">
        <f t="shared" si="0"/>
        <v>2035</v>
      </c>
      <c r="V47" s="28"/>
      <c r="W47" s="28"/>
      <c r="X47" s="28"/>
      <c r="Y47" s="9"/>
      <c r="Z47" s="9"/>
      <c r="AA47" s="9"/>
      <c r="AB47" s="9"/>
      <c r="AC47" s="9"/>
      <c r="AD47" s="9"/>
      <c r="AE47" s="9"/>
      <c r="AF47" s="9"/>
      <c r="AG47" s="9"/>
      <c r="AH47" s="9"/>
      <c r="AI47" s="9"/>
      <c r="AJ47" s="9"/>
    </row>
    <row r="48" spans="3:36" ht="16.8">
      <c r="C48" s="19" t="s">
        <v>80</v>
      </c>
      <c r="D48" s="19"/>
      <c r="E48" s="19"/>
      <c r="F48" s="20"/>
      <c r="G48" s="152">
        <f>modAllocation!D1</f>
        <v>0.02</v>
      </c>
      <c r="H48" s="153"/>
      <c r="I48" s="84"/>
      <c r="J48" s="84"/>
      <c r="K48" s="84"/>
      <c r="L48" s="84"/>
      <c r="M48" s="84"/>
      <c r="N48" s="84"/>
      <c r="O48" s="84"/>
      <c r="P48" s="84"/>
      <c r="Q48" s="84"/>
      <c r="R48" s="84"/>
      <c r="S48" s="84"/>
      <c r="T48" s="84"/>
      <c r="U48" s="84"/>
      <c r="V48" s="6"/>
      <c r="W48" s="6"/>
      <c r="X48" s="6"/>
    </row>
    <row r="49" spans="3:24" ht="16.8">
      <c r="C49" s="6" t="s">
        <v>81</v>
      </c>
      <c r="D49" s="6"/>
      <c r="E49" s="6"/>
      <c r="F49" s="21"/>
      <c r="G49" s="152">
        <f>modAllocation!E1</f>
        <v>0.28999999999999998</v>
      </c>
      <c r="H49" s="153"/>
      <c r="I49" s="84"/>
      <c r="J49" s="84"/>
      <c r="K49" s="84"/>
      <c r="L49" s="84"/>
      <c r="M49" s="84"/>
      <c r="N49" s="84"/>
      <c r="O49" s="84"/>
      <c r="P49" s="84"/>
      <c r="Q49" s="84"/>
      <c r="R49" s="84"/>
      <c r="S49" s="84"/>
      <c r="T49" s="84"/>
      <c r="U49" s="84"/>
      <c r="V49" s="6"/>
      <c r="W49" s="6"/>
      <c r="X49" s="6"/>
    </row>
    <row r="50" spans="3:24" ht="16.8">
      <c r="C50" s="6"/>
      <c r="D50" s="6"/>
      <c r="E50" s="6"/>
      <c r="F50" s="6"/>
      <c r="G50" s="6"/>
      <c r="H50" s="6"/>
      <c r="I50" s="6"/>
      <c r="J50" s="30" t="s">
        <v>19</v>
      </c>
      <c r="L50" s="6"/>
      <c r="M50" s="6"/>
      <c r="N50" s="6"/>
      <c r="O50" s="6"/>
      <c r="P50" s="6"/>
      <c r="Q50" s="6"/>
      <c r="R50" s="6"/>
      <c r="S50" s="6"/>
      <c r="T50" s="6"/>
      <c r="U50" s="6"/>
      <c r="V50" s="6"/>
      <c r="W50" s="6"/>
      <c r="X50" s="6"/>
    </row>
    <row r="51" spans="3:24" ht="16.8">
      <c r="C51" s="6"/>
      <c r="D51" s="6"/>
      <c r="E51" s="6"/>
      <c r="F51" s="6"/>
      <c r="G51" s="6"/>
      <c r="H51" s="6"/>
      <c r="I51" s="6"/>
      <c r="J51" s="30" t="s">
        <v>20</v>
      </c>
      <c r="L51" s="6"/>
      <c r="M51" s="6"/>
      <c r="N51" s="6"/>
      <c r="O51" s="6"/>
      <c r="P51" s="6"/>
      <c r="Q51" s="6"/>
      <c r="R51" s="6"/>
      <c r="S51" s="6"/>
      <c r="T51" s="6"/>
      <c r="U51" s="6"/>
      <c r="V51" s="6"/>
      <c r="W51" s="6"/>
      <c r="X51" s="6"/>
    </row>
    <row r="52" spans="3:24" ht="19.2">
      <c r="C52" s="32" t="s">
        <v>21</v>
      </c>
      <c r="D52" s="10"/>
      <c r="E52" s="10"/>
      <c r="F52" s="10"/>
      <c r="G52" s="10"/>
      <c r="H52" s="10"/>
      <c r="I52" s="10"/>
      <c r="J52" s="10"/>
      <c r="K52" s="10"/>
      <c r="L52" s="10"/>
      <c r="M52" s="6"/>
      <c r="N52" s="6"/>
      <c r="O52" s="6"/>
      <c r="P52" s="6"/>
      <c r="Q52" s="6"/>
      <c r="R52" s="6"/>
      <c r="S52" s="6"/>
      <c r="T52" s="6"/>
      <c r="U52" s="6"/>
      <c r="V52" s="6"/>
      <c r="W52" s="6"/>
      <c r="X52" s="6"/>
    </row>
    <row r="53" spans="3:24" ht="4.2" customHeight="1">
      <c r="C53" s="6"/>
      <c r="D53" s="6"/>
      <c r="E53" s="6"/>
      <c r="F53" s="6"/>
      <c r="G53" s="6"/>
      <c r="H53" s="6"/>
      <c r="I53" s="6"/>
      <c r="J53" s="6"/>
      <c r="K53" s="6"/>
      <c r="L53" s="6"/>
      <c r="M53" s="6"/>
      <c r="N53" s="6"/>
      <c r="O53" s="6"/>
      <c r="P53" s="6"/>
      <c r="Q53" s="6"/>
      <c r="R53" s="6"/>
      <c r="S53" s="6"/>
      <c r="T53" s="6"/>
      <c r="U53" s="6"/>
      <c r="V53" s="6"/>
      <c r="W53" s="6"/>
      <c r="X53" s="6"/>
    </row>
    <row r="54" spans="3:24" ht="57.6" customHeight="1">
      <c r="C54" s="113" t="s">
        <v>141</v>
      </c>
      <c r="D54" s="113"/>
      <c r="E54" s="113"/>
      <c r="F54" s="113"/>
      <c r="G54" s="113"/>
      <c r="H54" s="113"/>
      <c r="I54" s="113"/>
      <c r="J54" s="113"/>
      <c r="K54" s="113"/>
      <c r="L54" s="113"/>
      <c r="M54" s="18"/>
      <c r="N54" s="18"/>
      <c r="O54" s="6"/>
      <c r="P54" s="6"/>
      <c r="Q54" s="6"/>
      <c r="R54" s="6"/>
      <c r="S54" s="22"/>
      <c r="T54" s="6"/>
      <c r="U54" s="23"/>
      <c r="V54" s="6"/>
      <c r="W54" s="6"/>
      <c r="X54" s="6"/>
    </row>
    <row r="55" spans="3:24" ht="13.8" customHeight="1">
      <c r="C55" s="62"/>
      <c r="D55" s="62"/>
      <c r="E55" s="62"/>
      <c r="F55" s="62"/>
      <c r="G55" s="62"/>
      <c r="H55" s="62"/>
      <c r="I55" s="62"/>
      <c r="J55" s="62"/>
      <c r="K55" s="62"/>
      <c r="L55" s="62"/>
      <c r="M55" s="18"/>
      <c r="N55" s="18"/>
      <c r="O55" s="6"/>
      <c r="P55" s="6"/>
      <c r="Q55" s="6"/>
      <c r="R55" s="6"/>
      <c r="S55" s="22"/>
      <c r="T55" s="6"/>
      <c r="U55" s="23"/>
      <c r="V55" s="6"/>
      <c r="W55" s="6"/>
      <c r="X55" s="6"/>
    </row>
    <row r="56" spans="3:24" ht="13.2" customHeight="1">
      <c r="C56" s="6"/>
      <c r="D56" s="6"/>
      <c r="E56" s="6"/>
      <c r="F56" s="6"/>
      <c r="G56" s="138" t="s">
        <v>17</v>
      </c>
      <c r="H56" s="138"/>
      <c r="I56" s="149" t="s">
        <v>88</v>
      </c>
      <c r="J56" s="149"/>
      <c r="K56" s="149"/>
      <c r="L56" s="149"/>
      <c r="M56" s="149"/>
      <c r="N56" s="149"/>
      <c r="O56" s="149"/>
      <c r="P56" s="149"/>
      <c r="Q56" s="149"/>
      <c r="R56" s="149"/>
      <c r="S56" s="149"/>
      <c r="T56" s="149"/>
      <c r="U56" s="149"/>
      <c r="V56" s="6"/>
      <c r="W56" s="6"/>
      <c r="X56" s="6"/>
    </row>
    <row r="57" spans="3:24" ht="16.8">
      <c r="C57" s="28"/>
      <c r="D57" s="28"/>
      <c r="E57" s="28"/>
      <c r="F57" s="28" t="s">
        <v>89</v>
      </c>
      <c r="G57" s="139"/>
      <c r="H57" s="139"/>
      <c r="I57">
        <f>R21</f>
        <v>2023</v>
      </c>
      <c r="J57">
        <f>I57+1</f>
        <v>2024</v>
      </c>
      <c r="K57">
        <f t="shared" ref="K57:U57" si="1">J57+1</f>
        <v>2025</v>
      </c>
      <c r="L57">
        <f t="shared" si="1"/>
        <v>2026</v>
      </c>
      <c r="M57">
        <f t="shared" si="1"/>
        <v>2027</v>
      </c>
      <c r="N57">
        <f t="shared" si="1"/>
        <v>2028</v>
      </c>
      <c r="O57">
        <f t="shared" si="1"/>
        <v>2029</v>
      </c>
      <c r="P57">
        <f t="shared" si="1"/>
        <v>2030</v>
      </c>
      <c r="Q57">
        <f t="shared" si="1"/>
        <v>2031</v>
      </c>
      <c r="R57">
        <f t="shared" si="1"/>
        <v>2032</v>
      </c>
      <c r="S57">
        <f t="shared" si="1"/>
        <v>2033</v>
      </c>
      <c r="T57">
        <f t="shared" si="1"/>
        <v>2034</v>
      </c>
      <c r="U57">
        <f t="shared" si="1"/>
        <v>2035</v>
      </c>
      <c r="V57" s="6"/>
      <c r="W57" s="6"/>
      <c r="X57" s="6"/>
    </row>
    <row r="58" spans="3:24" ht="18.600000000000001" customHeight="1">
      <c r="C58" s="19" t="s">
        <v>78</v>
      </c>
      <c r="D58" s="19"/>
      <c r="E58" s="19"/>
      <c r="F58" s="63" t="s">
        <v>90</v>
      </c>
      <c r="G58" s="142">
        <f>divertToCC!C1</f>
        <v>0.1</v>
      </c>
      <c r="H58" s="143"/>
      <c r="I58" s="84"/>
      <c r="J58" s="84"/>
      <c r="K58" s="84"/>
      <c r="L58" s="84"/>
      <c r="M58" s="84"/>
      <c r="N58" s="84"/>
      <c r="O58" s="84"/>
      <c r="P58" s="84"/>
      <c r="Q58" s="84"/>
      <c r="R58" s="84"/>
      <c r="S58" s="84"/>
      <c r="T58" s="84"/>
      <c r="U58" s="84"/>
      <c r="V58" s="6"/>
      <c r="W58" s="6"/>
      <c r="X58" s="6"/>
    </row>
    <row r="59" spans="3:24" ht="16.8">
      <c r="C59" s="6"/>
      <c r="D59" s="6"/>
      <c r="E59" s="6"/>
      <c r="F59" s="64" t="s">
        <v>91</v>
      </c>
      <c r="G59" s="142">
        <f>divertToCC!C2</f>
        <v>0.1</v>
      </c>
      <c r="H59" s="143"/>
      <c r="I59" s="84"/>
      <c r="J59" s="84"/>
      <c r="K59" s="84"/>
      <c r="L59" s="84"/>
      <c r="M59" s="84"/>
      <c r="N59" s="84"/>
      <c r="O59" s="84"/>
      <c r="P59" s="84"/>
      <c r="Q59" s="84"/>
      <c r="R59" s="84"/>
      <c r="S59" s="84"/>
      <c r="T59" s="84"/>
      <c r="U59" s="84"/>
      <c r="V59" s="6"/>
      <c r="W59" s="6"/>
      <c r="X59" s="6"/>
    </row>
    <row r="60" spans="3:24" ht="16.8">
      <c r="C60" s="6"/>
      <c r="D60" s="6"/>
      <c r="E60" s="6"/>
      <c r="F60" s="64" t="s">
        <v>92</v>
      </c>
      <c r="G60" s="142">
        <f>divertToCC!C3</f>
        <v>0.1</v>
      </c>
      <c r="H60" s="143"/>
      <c r="I60" s="84"/>
      <c r="J60" s="84"/>
      <c r="K60" s="84"/>
      <c r="L60" s="84"/>
      <c r="M60" s="84"/>
      <c r="N60" s="84"/>
      <c r="O60" s="84"/>
      <c r="P60" s="84"/>
      <c r="Q60" s="84"/>
      <c r="R60" s="84"/>
      <c r="S60" s="84"/>
      <c r="T60" s="84"/>
      <c r="U60" s="84"/>
      <c r="V60" s="6"/>
      <c r="W60" s="6"/>
      <c r="X60" s="6"/>
    </row>
    <row r="61" spans="3:24" ht="16.8">
      <c r="C61" s="6"/>
      <c r="D61" s="6"/>
      <c r="E61" s="6"/>
      <c r="F61" s="64" t="s">
        <v>93</v>
      </c>
      <c r="G61" s="142">
        <f>divertToCC!C4</f>
        <v>0.1</v>
      </c>
      <c r="H61" s="143"/>
      <c r="I61" s="84"/>
      <c r="J61" s="84"/>
      <c r="K61" s="84"/>
      <c r="L61" s="84"/>
      <c r="M61" s="84"/>
      <c r="N61" s="84"/>
      <c r="O61" s="84"/>
      <c r="P61" s="84"/>
      <c r="Q61" s="84"/>
      <c r="R61" s="84"/>
      <c r="S61" s="84"/>
      <c r="T61" s="84"/>
      <c r="U61" s="84"/>
      <c r="V61" s="6"/>
      <c r="W61" s="6"/>
      <c r="X61" s="6"/>
    </row>
    <row r="62" spans="3:24" ht="16.8">
      <c r="C62" s="6"/>
      <c r="D62" s="6"/>
      <c r="E62" s="6"/>
      <c r="F62" s="64" t="s">
        <v>94</v>
      </c>
      <c r="G62" s="142">
        <f>divertToCC!C5</f>
        <v>0.25</v>
      </c>
      <c r="H62" s="143"/>
      <c r="I62" s="84"/>
      <c r="J62" s="84"/>
      <c r="K62" s="84"/>
      <c r="L62" s="84"/>
      <c r="M62" s="84"/>
      <c r="N62" s="84"/>
      <c r="O62" s="84"/>
      <c r="P62" s="84"/>
      <c r="Q62" s="84"/>
      <c r="R62" s="84"/>
      <c r="S62" s="84"/>
      <c r="T62" s="84"/>
      <c r="U62" s="84"/>
      <c r="V62" s="6"/>
      <c r="W62" s="6"/>
      <c r="X62" s="6"/>
    </row>
    <row r="63" spans="3:24" ht="16.8">
      <c r="C63" s="6"/>
      <c r="D63" s="6"/>
      <c r="E63" s="6"/>
      <c r="F63" s="65" t="s">
        <v>95</v>
      </c>
      <c r="G63" s="142">
        <f>divertToCC!C6</f>
        <v>0.5</v>
      </c>
      <c r="H63" s="143"/>
      <c r="I63" s="84"/>
      <c r="J63" s="84"/>
      <c r="K63" s="84"/>
      <c r="L63" s="84"/>
      <c r="M63" s="84"/>
      <c r="N63" s="84"/>
      <c r="O63" s="84"/>
      <c r="P63" s="84"/>
      <c r="Q63" s="84"/>
      <c r="R63" s="84"/>
      <c r="S63" s="84"/>
      <c r="T63" s="84"/>
      <c r="U63" s="84"/>
      <c r="V63" s="6"/>
      <c r="W63" s="6"/>
      <c r="X63" s="6"/>
    </row>
    <row r="64" spans="3:24" ht="16.8">
      <c r="C64" s="6" t="s">
        <v>79</v>
      </c>
      <c r="D64" s="6"/>
      <c r="E64" s="6"/>
      <c r="F64" s="21"/>
      <c r="G64" s="150">
        <f>referral_dist!B2</f>
        <v>0.2</v>
      </c>
      <c r="H64" s="151"/>
      <c r="I64" s="84"/>
      <c r="J64" s="84"/>
      <c r="K64" s="84"/>
      <c r="L64" s="84"/>
      <c r="M64" s="84"/>
      <c r="N64" s="84"/>
      <c r="O64" s="84"/>
      <c r="P64" s="84"/>
      <c r="Q64" s="84"/>
      <c r="R64" s="84"/>
      <c r="S64" s="84"/>
      <c r="T64" s="84"/>
      <c r="U64" s="84"/>
      <c r="V64" s="6"/>
      <c r="W64" s="6"/>
      <c r="X64" s="6"/>
    </row>
    <row r="65" spans="3:36" ht="16.8">
      <c r="C65" s="6"/>
      <c r="D65" s="6"/>
      <c r="E65" s="6"/>
      <c r="F65" s="6"/>
      <c r="G65" s="6"/>
      <c r="H65" s="6"/>
      <c r="I65" s="6"/>
      <c r="J65" s="6"/>
      <c r="K65" s="6"/>
      <c r="L65" s="6"/>
      <c r="M65" s="6"/>
      <c r="N65" s="6"/>
      <c r="O65" s="6"/>
      <c r="P65" s="6"/>
      <c r="Q65" s="6"/>
      <c r="R65" s="6"/>
      <c r="S65" s="6"/>
      <c r="T65" s="6"/>
      <c r="U65" s="6"/>
      <c r="V65" s="6"/>
      <c r="W65" s="6"/>
      <c r="X65" s="6"/>
    </row>
    <row r="66" spans="3:36" s="25" customFormat="1" ht="34.200000000000003" customHeight="1">
      <c r="C66" s="32" t="s">
        <v>22</v>
      </c>
      <c r="D66" s="39"/>
      <c r="E66" s="39"/>
      <c r="F66" s="39"/>
      <c r="G66" s="39"/>
      <c r="H66" s="39"/>
      <c r="I66" s="39"/>
      <c r="J66" s="39"/>
      <c r="K66" s="39"/>
      <c r="L66" s="39"/>
      <c r="M66" s="16"/>
      <c r="N66" s="16"/>
      <c r="O66" s="16"/>
      <c r="P66" s="16"/>
      <c r="Q66" s="16"/>
      <c r="R66" s="16"/>
      <c r="S66" s="16"/>
      <c r="T66" s="16"/>
      <c r="U66" s="16"/>
    </row>
    <row r="67" spans="3:36" s="25" customFormat="1" ht="16.8">
      <c r="C67" s="16"/>
      <c r="D67" s="16"/>
      <c r="E67" s="16"/>
      <c r="F67" s="16"/>
      <c r="G67" s="16"/>
      <c r="H67" s="16"/>
      <c r="I67" s="16"/>
      <c r="J67" s="16"/>
      <c r="K67" s="16"/>
      <c r="L67" s="16"/>
      <c r="M67" s="16"/>
      <c r="N67" s="16"/>
      <c r="O67" s="16"/>
      <c r="P67" s="16"/>
      <c r="Q67" s="16"/>
      <c r="R67" s="16"/>
      <c r="S67" s="16"/>
      <c r="T67" s="16"/>
      <c r="U67" s="16"/>
    </row>
    <row r="68" spans="3:36" s="25" customFormat="1" ht="67.2" customHeight="1">
      <c r="C68" s="144" t="s">
        <v>186</v>
      </c>
      <c r="D68" s="144"/>
      <c r="E68" s="144"/>
      <c r="F68" s="144"/>
      <c r="G68" s="144"/>
      <c r="H68" s="144"/>
      <c r="I68" s="144"/>
      <c r="J68" s="144"/>
      <c r="K68" s="144"/>
      <c r="L68" s="144"/>
      <c r="M68" s="103"/>
      <c r="N68" s="103"/>
      <c r="O68" s="16"/>
      <c r="P68" s="16"/>
      <c r="Q68" s="16"/>
      <c r="R68" s="16"/>
      <c r="S68" s="16"/>
      <c r="T68" s="16"/>
      <c r="U68" s="16"/>
    </row>
    <row r="69" spans="3:36" s="25" customFormat="1" ht="18" customHeight="1">
      <c r="C69" s="105"/>
      <c r="D69" s="105"/>
      <c r="E69" s="105"/>
      <c r="F69" s="105"/>
      <c r="G69" s="105"/>
      <c r="H69" s="105"/>
      <c r="I69" s="105"/>
      <c r="J69" s="105"/>
      <c r="K69" s="105"/>
      <c r="L69" s="105"/>
      <c r="M69" s="103"/>
      <c r="N69" s="103"/>
      <c r="O69" s="16"/>
      <c r="P69" s="16"/>
      <c r="Q69" s="16"/>
      <c r="R69" s="16"/>
      <c r="S69" s="16"/>
      <c r="T69" s="16"/>
      <c r="U69" s="16"/>
    </row>
    <row r="70" spans="3:36" s="25" customFormat="1" ht="16.8">
      <c r="C70" s="16"/>
      <c r="D70" s="16"/>
      <c r="E70" s="16"/>
      <c r="F70" s="16"/>
      <c r="G70" s="16"/>
      <c r="H70" s="16"/>
      <c r="I70" s="149" t="s">
        <v>143</v>
      </c>
      <c r="J70" s="149"/>
      <c r="K70" s="149"/>
      <c r="L70" s="149"/>
      <c r="M70" s="149"/>
      <c r="N70" s="149"/>
      <c r="O70" s="149"/>
      <c r="P70" s="149"/>
      <c r="Q70" s="149"/>
      <c r="R70" s="149"/>
      <c r="S70" s="149"/>
      <c r="T70" s="149"/>
      <c r="U70" s="149"/>
    </row>
    <row r="71" spans="3:36" s="25" customFormat="1" ht="16.8">
      <c r="C71" s="16"/>
      <c r="D71" s="16"/>
      <c r="E71" s="16"/>
      <c r="F71" s="16"/>
      <c r="G71" s="146" t="s">
        <v>17</v>
      </c>
      <c r="H71" s="146"/>
      <c r="I71">
        <f>R21</f>
        <v>2023</v>
      </c>
      <c r="J71">
        <f>I71+1</f>
        <v>2024</v>
      </c>
      <c r="K71">
        <f t="shared" ref="K71:U71" si="2">J71+1</f>
        <v>2025</v>
      </c>
      <c r="L71">
        <f t="shared" si="2"/>
        <v>2026</v>
      </c>
      <c r="M71">
        <f t="shared" si="2"/>
        <v>2027</v>
      </c>
      <c r="N71">
        <f t="shared" si="2"/>
        <v>2028</v>
      </c>
      <c r="O71">
        <f t="shared" si="2"/>
        <v>2029</v>
      </c>
      <c r="P71">
        <f t="shared" si="2"/>
        <v>2030</v>
      </c>
      <c r="Q71">
        <f t="shared" si="2"/>
        <v>2031</v>
      </c>
      <c r="R71">
        <f t="shared" si="2"/>
        <v>2032</v>
      </c>
      <c r="S71">
        <f t="shared" si="2"/>
        <v>2033</v>
      </c>
      <c r="T71">
        <f t="shared" si="2"/>
        <v>2034</v>
      </c>
      <c r="U71">
        <f t="shared" si="2"/>
        <v>2035</v>
      </c>
    </row>
    <row r="72" spans="3:36" s="25" customFormat="1" ht="16.8" hidden="1">
      <c r="C72" s="108" t="s">
        <v>187</v>
      </c>
      <c r="D72" s="108"/>
      <c r="E72" s="108"/>
      <c r="F72" s="109"/>
      <c r="G72" s="147">
        <f>AVERAGE(receivesTx!B1:B6)</f>
        <v>0.55000000000000004</v>
      </c>
      <c r="H72" s="147"/>
      <c r="I72" s="106"/>
      <c r="J72" s="106"/>
      <c r="K72" s="106"/>
      <c r="L72" s="106"/>
      <c r="M72" s="106"/>
      <c r="N72" s="106"/>
      <c r="O72" s="106"/>
      <c r="P72" s="106"/>
      <c r="Q72" s="106"/>
      <c r="R72" s="106"/>
      <c r="S72" s="106"/>
      <c r="T72" s="106"/>
      <c r="U72" s="106"/>
    </row>
    <row r="73" spans="3:36" s="25" customFormat="1" ht="16.8">
      <c r="C73" s="16" t="s">
        <v>102</v>
      </c>
      <c r="D73" s="16"/>
      <c r="E73" s="16"/>
      <c r="F73" s="26"/>
      <c r="G73" s="145">
        <f xml:space="preserve"> AVERAGE(preE_Tx_Live!C1:C6)</f>
        <v>0.3</v>
      </c>
      <c r="H73" s="145"/>
      <c r="I73" s="104"/>
      <c r="J73" s="104"/>
      <c r="K73" s="104"/>
      <c r="L73" s="104"/>
      <c r="M73" s="104"/>
      <c r="N73" s="104"/>
      <c r="O73" s="104"/>
      <c r="P73" s="104"/>
      <c r="Q73" s="104"/>
      <c r="R73" s="104"/>
      <c r="S73" s="104"/>
      <c r="T73" s="104"/>
      <c r="U73" s="104"/>
    </row>
    <row r="74" spans="3:36" s="25" customFormat="1" ht="16.8">
      <c r="C74" s="16" t="s">
        <v>103</v>
      </c>
      <c r="D74" s="16"/>
      <c r="E74" s="16"/>
      <c r="F74" s="16"/>
      <c r="G74" s="148">
        <f>AVERAGE(preE_Tx_Cadav!C1:C6)</f>
        <v>9.9999999999999992E-2</v>
      </c>
      <c r="H74" s="148"/>
      <c r="I74" s="104"/>
      <c r="J74" s="104"/>
      <c r="K74" s="104"/>
      <c r="L74" s="104"/>
      <c r="M74" s="104"/>
      <c r="N74" s="104"/>
      <c r="O74" s="104"/>
      <c r="P74" s="104"/>
      <c r="Q74" s="104"/>
      <c r="R74" s="104"/>
      <c r="S74" s="104"/>
      <c r="T74" s="104"/>
      <c r="U74" s="104"/>
    </row>
    <row r="75" spans="3:36" s="25" customFormat="1" ht="16.95" customHeight="1">
      <c r="C75" s="9"/>
      <c r="D75" s="9"/>
      <c r="E75" s="9"/>
      <c r="F75" s="9"/>
      <c r="G75" s="9"/>
      <c r="H75" s="9"/>
      <c r="I75" s="9"/>
      <c r="J75" s="30" t="s">
        <v>23</v>
      </c>
      <c r="K75" s="9"/>
      <c r="L75" s="9"/>
      <c r="M75" s="9"/>
      <c r="N75" s="9"/>
      <c r="O75" s="9"/>
      <c r="P75" s="9"/>
      <c r="Q75" s="9"/>
      <c r="R75" s="9"/>
      <c r="S75" s="9"/>
      <c r="T75" s="9"/>
      <c r="U75" s="58"/>
      <c r="V75" s="9"/>
      <c r="W75" s="9"/>
      <c r="X75" s="9"/>
      <c r="Y75" s="9"/>
      <c r="Z75" s="9"/>
      <c r="AA75" s="9"/>
      <c r="AB75" s="9"/>
      <c r="AC75" s="9"/>
      <c r="AD75" s="9"/>
      <c r="AE75" s="9"/>
      <c r="AF75" s="9"/>
      <c r="AG75" s="9"/>
      <c r="AH75" s="9"/>
      <c r="AI75" s="9"/>
      <c r="AJ75" s="9"/>
    </row>
    <row r="76" spans="3:36" ht="19.2">
      <c r="C76" s="32" t="s">
        <v>24</v>
      </c>
      <c r="D76" s="10"/>
      <c r="E76" s="10"/>
      <c r="F76" s="57" t="s">
        <v>25</v>
      </c>
      <c r="G76" s="57"/>
      <c r="H76" s="57">
        <f>IF(F23 = "New CKD Scenario", 0, 1)</f>
        <v>1</v>
      </c>
      <c r="I76" s="10"/>
      <c r="J76" s="10"/>
      <c r="K76" s="10"/>
      <c r="L76" s="10"/>
      <c r="M76" s="10"/>
      <c r="N76" s="8"/>
      <c r="O76" s="8"/>
      <c r="P76" s="8"/>
      <c r="Q76" s="8"/>
      <c r="R76" s="8"/>
      <c r="U76" s="58"/>
    </row>
    <row r="77" spans="3:36" ht="16.8">
      <c r="C77" s="6"/>
      <c r="D77" s="6"/>
      <c r="E77" s="6"/>
      <c r="F77" s="6"/>
      <c r="G77" s="6"/>
      <c r="H77" s="6"/>
      <c r="I77" s="6"/>
      <c r="J77" s="6"/>
      <c r="K77" s="6"/>
      <c r="L77" s="6"/>
      <c r="U77" s="58"/>
    </row>
    <row r="78" spans="3:36" ht="15.6" customHeight="1">
      <c r="C78" s="140" t="s">
        <v>185</v>
      </c>
      <c r="D78" s="140"/>
      <c r="E78" s="140"/>
      <c r="F78" s="140"/>
      <c r="G78" s="140"/>
      <c r="H78" s="140"/>
      <c r="I78" s="140"/>
      <c r="J78" s="140"/>
      <c r="K78" s="140"/>
      <c r="L78" s="140"/>
      <c r="M78" s="140"/>
      <c r="N78" s="140"/>
      <c r="O78" s="140"/>
      <c r="P78" s="140"/>
      <c r="Q78" s="140"/>
      <c r="R78" s="140"/>
      <c r="U78" s="58"/>
    </row>
    <row r="79" spans="3:36" ht="16.8">
      <c r="C79" s="24"/>
      <c r="D79" s="24"/>
      <c r="E79" s="24"/>
      <c r="F79" s="24"/>
      <c r="G79" s="24"/>
      <c r="H79" s="24"/>
      <c r="I79" s="24"/>
      <c r="J79" s="24"/>
      <c r="K79" s="24"/>
      <c r="L79" s="24"/>
      <c r="M79" s="25"/>
      <c r="N79" s="25"/>
      <c r="O79" s="25"/>
      <c r="P79" s="25"/>
      <c r="Q79" s="25"/>
      <c r="R79" s="25"/>
      <c r="S79" s="25"/>
      <c r="U79" s="58"/>
    </row>
    <row r="80" spans="3:36" ht="16.8">
      <c r="C80" s="6"/>
      <c r="D80" s="6"/>
      <c r="E80" s="6"/>
      <c r="F80" s="81">
        <v>2023</v>
      </c>
      <c r="G80" s="81">
        <v>2024</v>
      </c>
      <c r="H80" s="81">
        <v>2025</v>
      </c>
      <c r="I80" s="81">
        <v>2026</v>
      </c>
      <c r="J80" s="81">
        <v>2027</v>
      </c>
      <c r="K80" s="81">
        <v>2028</v>
      </c>
      <c r="L80" s="81">
        <v>2029</v>
      </c>
      <c r="M80" s="81">
        <v>2030</v>
      </c>
      <c r="N80" s="81">
        <v>2031</v>
      </c>
      <c r="O80" s="81">
        <v>2032</v>
      </c>
      <c r="P80" s="81">
        <v>2033</v>
      </c>
      <c r="Q80" s="81">
        <v>2034</v>
      </c>
      <c r="R80" s="81">
        <v>2035</v>
      </c>
      <c r="S80" s="25"/>
      <c r="T80"/>
      <c r="U80" s="58"/>
    </row>
    <row r="81" spans="3:21" ht="16.8">
      <c r="C81" s="19" t="s">
        <v>26</v>
      </c>
      <c r="D81" s="19"/>
      <c r="E81" s="19"/>
      <c r="F81" s="82">
        <f>simPy_sheet!B5</f>
        <v>0.5</v>
      </c>
      <c r="G81" s="82">
        <f>simPy_sheet!C5</f>
        <v>0.5</v>
      </c>
      <c r="H81" s="82">
        <f>simPy_sheet!D5</f>
        <v>0.5</v>
      </c>
      <c r="I81" s="82">
        <f>simPy_sheet!E5</f>
        <v>0.5</v>
      </c>
      <c r="J81" s="82">
        <f>simPy_sheet!F5</f>
        <v>0.5</v>
      </c>
      <c r="K81" s="82">
        <f>simPy_sheet!G5</f>
        <v>0.5</v>
      </c>
      <c r="L81" s="82">
        <f>simPy_sheet!H5</f>
        <v>0.5</v>
      </c>
      <c r="M81" s="82">
        <f>simPy_sheet!I5</f>
        <v>0.5</v>
      </c>
      <c r="N81" s="82">
        <f>simPy_sheet!J5</f>
        <v>0.5</v>
      </c>
      <c r="O81" s="82">
        <f>simPy_sheet!K5</f>
        <v>0.5</v>
      </c>
      <c r="P81" s="82">
        <f>simPy_sheet!L5</f>
        <v>0.5</v>
      </c>
      <c r="Q81" s="82">
        <f>simPy_sheet!M5</f>
        <v>0.5</v>
      </c>
      <c r="R81" s="82">
        <f>simPy_sheet!N5</f>
        <v>0.5</v>
      </c>
      <c r="S81" s="25"/>
      <c r="T81"/>
      <c r="U81" s="58"/>
    </row>
    <row r="82" spans="3:21" ht="16.8">
      <c r="C82" s="16" t="s">
        <v>74</v>
      </c>
      <c r="D82" s="16"/>
      <c r="E82" s="26"/>
      <c r="F82" s="111"/>
      <c r="G82" s="112"/>
      <c r="H82" s="112"/>
      <c r="I82" s="112"/>
      <c r="J82" s="112"/>
      <c r="K82" s="112"/>
      <c r="L82" s="112"/>
      <c r="M82" s="112"/>
      <c r="N82" s="112"/>
      <c r="O82" s="112"/>
      <c r="P82" s="112"/>
      <c r="Q82" s="112"/>
      <c r="R82" s="110"/>
      <c r="S82"/>
      <c r="T82"/>
      <c r="U82" s="58"/>
    </row>
    <row r="83" spans="3:21" ht="16.8">
      <c r="C83" s="16" t="s">
        <v>27</v>
      </c>
      <c r="D83" s="16"/>
      <c r="E83" s="16"/>
      <c r="F83" s="83" t="str">
        <f>IF(F82&gt;0,daily_rate!N2,"")</f>
        <v/>
      </c>
      <c r="G83" s="83" t="str">
        <f>IF(G82&gt;0,daily_rate!O2,"")</f>
        <v/>
      </c>
      <c r="H83" s="83" t="str">
        <f>IF(H82&gt;0,daily_rate!P2,"")</f>
        <v/>
      </c>
      <c r="I83" s="83" t="str">
        <f>IF(I82&gt;0,daily_rate!Q2,"")</f>
        <v/>
      </c>
      <c r="J83" s="83" t="str">
        <f>IF(J82&gt;0,daily_rate!R2,"")</f>
        <v/>
      </c>
      <c r="K83" s="83" t="str">
        <f>IF(K82&gt;0,daily_rate!S2,"")</f>
        <v/>
      </c>
      <c r="L83" s="83" t="str">
        <f>IF(L82&gt;0,daily_rate!T2,"")</f>
        <v/>
      </c>
      <c r="M83" s="83" t="str">
        <f>IF(M82&gt;0,daily_rate!U2,"")</f>
        <v/>
      </c>
      <c r="N83" s="83" t="str">
        <f>IF(N82&gt;0,daily_rate!V2,"")</f>
        <v/>
      </c>
      <c r="O83" s="83" t="str">
        <f>IF(O82&gt;0,daily_rate!W2,"")</f>
        <v/>
      </c>
      <c r="P83" s="83" t="str">
        <f>IF(P82&gt;0,daily_rate!X2,"")</f>
        <v/>
      </c>
      <c r="Q83" s="83" t="str">
        <f>IF(Q82&gt;0,daily_rate!Y2,"")</f>
        <v/>
      </c>
      <c r="R83" s="83" t="str">
        <f>IF(R82&gt;0,daily_rate!Z2,"")</f>
        <v/>
      </c>
      <c r="S83" s="25"/>
      <c r="T83"/>
      <c r="U83" s="58"/>
    </row>
    <row r="84" spans="3:21" ht="16.8">
      <c r="C84" s="16"/>
      <c r="D84" s="16"/>
      <c r="E84" s="16"/>
      <c r="F84" s="16"/>
      <c r="G84" s="141"/>
      <c r="H84" s="141"/>
      <c r="I84" s="141"/>
      <c r="J84" s="72" t="s">
        <v>19</v>
      </c>
      <c r="K84" s="73"/>
      <c r="L84" s="73"/>
      <c r="M84" s="25"/>
      <c r="N84" s="25"/>
      <c r="O84" s="102" t="str">
        <f>IF(P82&gt;0,daily_rate!X4,"")</f>
        <v/>
      </c>
      <c r="P84" s="25"/>
      <c r="Q84" s="25"/>
      <c r="R84" s="25"/>
      <c r="S84" s="25"/>
      <c r="T84"/>
      <c r="U84" s="58"/>
    </row>
    <row r="85" spans="3:21">
      <c r="C85"/>
      <c r="D85"/>
      <c r="E85"/>
      <c r="F85"/>
      <c r="G85"/>
      <c r="H85"/>
      <c r="I85"/>
      <c r="J85"/>
      <c r="K85"/>
      <c r="L85"/>
      <c r="M85"/>
      <c r="N85"/>
      <c r="O85"/>
      <c r="P85"/>
      <c r="Q85"/>
      <c r="R85"/>
      <c r="S85"/>
      <c r="T85"/>
      <c r="U85" s="58"/>
    </row>
    <row r="86" spans="3:21">
      <c r="C86"/>
      <c r="D86"/>
      <c r="E86"/>
      <c r="F86"/>
      <c r="G86"/>
      <c r="H86"/>
      <c r="I86"/>
      <c r="J86"/>
      <c r="K86"/>
      <c r="L86"/>
      <c r="M86"/>
      <c r="N86"/>
      <c r="O86"/>
      <c r="P86"/>
      <c r="Q86"/>
      <c r="R86"/>
      <c r="S86"/>
      <c r="T86"/>
      <c r="U86" s="58"/>
    </row>
    <row r="87" spans="3:21">
      <c r="C87"/>
      <c r="D87"/>
      <c r="E87"/>
      <c r="F87"/>
      <c r="G87"/>
      <c r="H87"/>
      <c r="I87"/>
      <c r="J87"/>
      <c r="K87"/>
      <c r="L87"/>
      <c r="M87"/>
      <c r="N87"/>
      <c r="O87"/>
      <c r="P87"/>
      <c r="Q87"/>
      <c r="R87"/>
      <c r="S87"/>
      <c r="T87"/>
    </row>
    <row r="88" spans="3:21">
      <c r="C88"/>
      <c r="D88"/>
      <c r="E88"/>
      <c r="F88"/>
      <c r="G88"/>
      <c r="H88"/>
      <c r="I88"/>
      <c r="J88"/>
      <c r="K88"/>
      <c r="L88"/>
      <c r="M88"/>
      <c r="N88"/>
      <c r="O88"/>
      <c r="P88"/>
      <c r="Q88"/>
      <c r="R88"/>
      <c r="S88"/>
      <c r="T88"/>
    </row>
    <row r="89" spans="3:21">
      <c r="C89"/>
      <c r="D89"/>
      <c r="E89"/>
      <c r="F89"/>
      <c r="G89"/>
      <c r="H89"/>
      <c r="I89"/>
      <c r="J89"/>
      <c r="K89"/>
      <c r="L89"/>
      <c r="M89"/>
      <c r="N89"/>
      <c r="O89"/>
      <c r="P89"/>
      <c r="Q89"/>
      <c r="R89"/>
      <c r="S89"/>
      <c r="T89"/>
    </row>
    <row r="90" spans="3:21">
      <c r="C90"/>
      <c r="D90"/>
      <c r="E90"/>
      <c r="F90"/>
      <c r="G90"/>
      <c r="H90"/>
      <c r="I90"/>
      <c r="J90"/>
      <c r="K90"/>
      <c r="L90"/>
      <c r="M90"/>
      <c r="N90"/>
      <c r="O90"/>
      <c r="P90"/>
      <c r="Q90"/>
      <c r="R90"/>
      <c r="S90"/>
      <c r="T90"/>
    </row>
    <row r="91" spans="3:21">
      <c r="C91"/>
      <c r="D91"/>
      <c r="E91"/>
      <c r="F91"/>
      <c r="G91"/>
      <c r="H91"/>
      <c r="I91"/>
      <c r="J91"/>
      <c r="K91"/>
      <c r="L91"/>
      <c r="M91"/>
      <c r="N91"/>
      <c r="O91"/>
      <c r="P91"/>
      <c r="Q91"/>
      <c r="R91"/>
      <c r="S91"/>
      <c r="T91"/>
    </row>
    <row r="92" spans="3:21">
      <c r="C92"/>
      <c r="D92"/>
      <c r="E92"/>
      <c r="F92"/>
      <c r="G92"/>
      <c r="H92"/>
      <c r="I92"/>
      <c r="J92"/>
      <c r="K92"/>
      <c r="L92"/>
      <c r="M92"/>
      <c r="N92"/>
      <c r="O92"/>
      <c r="P92"/>
      <c r="Q92"/>
      <c r="R92"/>
      <c r="S92"/>
      <c r="T92"/>
    </row>
    <row r="93" spans="3:21">
      <c r="C93"/>
      <c r="D93"/>
      <c r="E93"/>
      <c r="F93"/>
      <c r="G93"/>
      <c r="H93"/>
      <c r="I93"/>
      <c r="J93"/>
      <c r="K93"/>
      <c r="L93"/>
      <c r="M93"/>
      <c r="N93"/>
      <c r="O93"/>
      <c r="P93"/>
      <c r="Q93"/>
      <c r="R93"/>
      <c r="S93"/>
    </row>
  </sheetData>
  <mergeCells count="51">
    <mergeCell ref="I46:U46"/>
    <mergeCell ref="G46:H47"/>
    <mergeCell ref="G56:H57"/>
    <mergeCell ref="G58:H58"/>
    <mergeCell ref="G64:H64"/>
    <mergeCell ref="G59:H59"/>
    <mergeCell ref="G60:H60"/>
    <mergeCell ref="G61:H61"/>
    <mergeCell ref="G48:H48"/>
    <mergeCell ref="G49:H49"/>
    <mergeCell ref="C54:L54"/>
    <mergeCell ref="I56:U56"/>
    <mergeCell ref="C78:R78"/>
    <mergeCell ref="G84:I84"/>
    <mergeCell ref="G62:H62"/>
    <mergeCell ref="G63:H63"/>
    <mergeCell ref="C68:L68"/>
    <mergeCell ref="G73:H73"/>
    <mergeCell ref="G71:H71"/>
    <mergeCell ref="G72:H72"/>
    <mergeCell ref="G74:H74"/>
    <mergeCell ref="I70:U70"/>
    <mergeCell ref="T31:U31"/>
    <mergeCell ref="V31:X31"/>
    <mergeCell ref="C44:L44"/>
    <mergeCell ref="C35:L35"/>
    <mergeCell ref="G38:H38"/>
    <mergeCell ref="G36:H37"/>
    <mergeCell ref="I36:U36"/>
    <mergeCell ref="T28:U28"/>
    <mergeCell ref="V28:X28"/>
    <mergeCell ref="T29:U29"/>
    <mergeCell ref="V29:X29"/>
    <mergeCell ref="T30:U30"/>
    <mergeCell ref="V30:X30"/>
    <mergeCell ref="Y44:AJ44"/>
    <mergeCell ref="T26:U26"/>
    <mergeCell ref="V26:X26"/>
    <mergeCell ref="C18:L18"/>
    <mergeCell ref="N18:X18"/>
    <mergeCell ref="F20:L20"/>
    <mergeCell ref="R20:X20"/>
    <mergeCell ref="F21:L21"/>
    <mergeCell ref="R21:X21"/>
    <mergeCell ref="F22:L22"/>
    <mergeCell ref="F23:L23"/>
    <mergeCell ref="R23:X23"/>
    <mergeCell ref="T25:U25"/>
    <mergeCell ref="V25:X25"/>
    <mergeCell ref="T27:U27"/>
    <mergeCell ref="V27:X27"/>
  </mergeCells>
  <conditionalFormatting sqref="A72:B80 C76:S81 C82:E82 R82:S82 C83:S84">
    <cfRule type="expression" dxfId="7" priority="1">
      <formula>$H$76=1</formula>
    </cfRule>
  </conditionalFormatting>
  <conditionalFormatting sqref="J50:M51">
    <cfRule type="expression" dxfId="6" priority="34">
      <formula>$K$49&gt;1</formula>
    </cfRule>
    <cfRule type="expression" dxfId="5" priority="35">
      <formula>$K$49&lt;0</formula>
    </cfRule>
    <cfRule type="expression" dxfId="4" priority="38">
      <formula>$K$48&lt;0</formula>
    </cfRule>
    <cfRule type="expression" dxfId="3" priority="39">
      <formula>$K$48&gt;1</formula>
    </cfRule>
  </conditionalFormatting>
  <conditionalFormatting sqref="J75:M75">
    <cfRule type="expression" dxfId="2" priority="41">
      <formula>#REF!&lt;0</formula>
    </cfRule>
  </conditionalFormatting>
  <conditionalFormatting sqref="N80:R81">
    <cfRule type="expression" dxfId="1" priority="5">
      <formula>$H$76=1</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topLeftCell="A10" zoomScale="95" zoomScaleNormal="95" workbookViewId="0">
      <selection activeCell="G18" sqref="G18:H21"/>
    </sheetView>
  </sheetViews>
  <sheetFormatPr defaultColWidth="9.6640625" defaultRowHeight="15"/>
  <cols>
    <col min="1" max="1" width="10.109375" style="9" customWidth="1"/>
    <col min="2" max="2" width="7.44140625" style="9" customWidth="1"/>
    <col min="3" max="3" width="13.88671875" style="9" customWidth="1"/>
    <col min="4" max="5" width="10.109375" style="9" customWidth="1"/>
    <col min="6" max="6" width="10.6640625" style="9" customWidth="1"/>
    <col min="7" max="7" width="10.109375" style="9" customWidth="1"/>
    <col min="8" max="8" width="10.6640625" style="9" customWidth="1"/>
    <col min="9" max="9" width="10.109375" style="9" customWidth="1"/>
    <col min="10" max="10" width="8.33203125" style="9" customWidth="1"/>
    <col min="11" max="11" width="10.109375" style="9" customWidth="1"/>
    <col min="12" max="12" width="9.5546875" style="9" customWidth="1"/>
    <col min="13" max="13" width="10.6640625" style="9" customWidth="1"/>
    <col min="14" max="14" width="10.109375" style="9" customWidth="1"/>
    <col min="15" max="15" width="12" style="9" customWidth="1"/>
    <col min="16" max="16" width="13.109375" style="9" customWidth="1"/>
    <col min="17" max="17" width="12.6640625" style="9" customWidth="1"/>
    <col min="18" max="18" width="13.44140625" style="9" customWidth="1"/>
    <col min="19" max="19" width="13.6640625" style="9" customWidth="1"/>
    <col min="20" max="20" width="12.6640625" style="9" customWidth="1"/>
    <col min="21" max="21" width="10.6640625" style="9" customWidth="1"/>
    <col min="22" max="23" width="12.33203125" style="9" customWidth="1"/>
    <col min="24" max="25" width="10.109375" style="9" customWidth="1"/>
    <col min="26" max="27" width="10.109375" style="9" hidden="1" customWidth="1"/>
    <col min="28" max="16384" width="9.6640625" style="9"/>
  </cols>
  <sheetData>
    <row r="12" spans="3:24" ht="24.6">
      <c r="C12" s="7" t="s">
        <v>28</v>
      </c>
      <c r="D12" s="8"/>
      <c r="E12" s="8"/>
      <c r="F12" s="8"/>
      <c r="G12" s="8"/>
      <c r="H12" s="8"/>
      <c r="I12" s="8"/>
      <c r="J12" s="8"/>
      <c r="K12" s="8"/>
      <c r="L12" s="8"/>
      <c r="M12" s="8"/>
      <c r="N12" s="8"/>
      <c r="O12" s="8"/>
      <c r="P12" s="8"/>
      <c r="Q12" s="8"/>
      <c r="R12" s="8"/>
      <c r="S12" s="8"/>
      <c r="T12" s="8"/>
      <c r="U12" s="8"/>
      <c r="V12" s="8"/>
      <c r="W12" s="8"/>
      <c r="X12" s="8"/>
    </row>
    <row r="14" spans="3:24" ht="19.2">
      <c r="C14" s="32" t="s">
        <v>29</v>
      </c>
      <c r="D14" s="10"/>
      <c r="E14" s="10"/>
      <c r="F14" s="10"/>
      <c r="G14" s="10"/>
      <c r="H14" s="10"/>
      <c r="I14" s="10"/>
      <c r="J14" s="10"/>
      <c r="K14" s="10"/>
      <c r="L14" s="10"/>
      <c r="M14" s="6"/>
      <c r="O14" s="32" t="s">
        <v>30</v>
      </c>
      <c r="P14" s="10"/>
      <c r="Q14" s="10"/>
      <c r="R14" s="10"/>
      <c r="S14" s="10"/>
      <c r="T14" s="10"/>
      <c r="U14" s="10"/>
      <c r="V14" s="10"/>
      <c r="W14" s="10"/>
      <c r="X14" s="10"/>
    </row>
    <row r="15" spans="3:24" ht="8.4" customHeight="1">
      <c r="C15" s="6"/>
      <c r="D15" s="6"/>
      <c r="E15" s="6"/>
      <c r="F15" s="6"/>
      <c r="G15" s="6"/>
      <c r="H15" s="6"/>
      <c r="I15" s="6"/>
      <c r="J15" s="6"/>
      <c r="K15" s="6"/>
      <c r="L15" s="6"/>
      <c r="M15" s="6"/>
    </row>
    <row r="16" spans="3:24" ht="36.6" customHeight="1">
      <c r="C16" s="140" t="s">
        <v>82</v>
      </c>
      <c r="D16" s="140"/>
      <c r="E16" s="140"/>
      <c r="F16" s="140"/>
      <c r="G16" s="140"/>
      <c r="H16" s="140"/>
      <c r="I16" s="140"/>
      <c r="J16" s="140"/>
      <c r="K16" s="140"/>
      <c r="L16" s="140"/>
      <c r="M16" s="6"/>
      <c r="O16" s="140" t="s">
        <v>31</v>
      </c>
      <c r="P16" s="140"/>
      <c r="Q16" s="140"/>
      <c r="R16" s="140"/>
      <c r="S16" s="140"/>
      <c r="T16" s="140"/>
      <c r="U16" s="140"/>
      <c r="V16" s="140"/>
      <c r="W16" s="140"/>
      <c r="X16" s="140"/>
    </row>
    <row r="17" spans="3:27" s="29" customFormat="1" ht="34.950000000000003" customHeight="1">
      <c r="C17" s="28"/>
      <c r="D17" s="28"/>
      <c r="E17" s="28"/>
      <c r="F17" s="28"/>
      <c r="G17" s="139" t="s">
        <v>32</v>
      </c>
      <c r="H17" s="139"/>
      <c r="I17" s="138" t="s">
        <v>33</v>
      </c>
      <c r="J17" s="138"/>
      <c r="K17" s="138" t="s">
        <v>18</v>
      </c>
      <c r="L17" s="138"/>
      <c r="M17" s="28"/>
      <c r="O17" s="37"/>
      <c r="P17" s="37"/>
      <c r="Q17" s="37"/>
      <c r="R17" s="38"/>
      <c r="S17" s="38"/>
      <c r="T17" s="38"/>
      <c r="U17" s="166" t="s">
        <v>32</v>
      </c>
      <c r="V17" s="166"/>
      <c r="W17" s="165" t="s">
        <v>18</v>
      </c>
      <c r="X17" s="165"/>
      <c r="Z17" s="41" t="s">
        <v>34</v>
      </c>
      <c r="AA17" s="41"/>
    </row>
    <row r="18" spans="3:27" ht="19.2">
      <c r="C18" s="19" t="s">
        <v>35</v>
      </c>
      <c r="D18" s="19"/>
      <c r="E18" s="19"/>
      <c r="F18" s="19"/>
      <c r="G18" s="192">
        <v>62842.05</v>
      </c>
      <c r="H18" s="193"/>
      <c r="I18" s="196"/>
      <c r="J18" s="195"/>
      <c r="K18" s="191">
        <f>IF(I18="", G18, I18)</f>
        <v>62842.05</v>
      </c>
      <c r="L18" s="191"/>
      <c r="M18" s="6"/>
      <c r="O18" s="169" t="s">
        <v>36</v>
      </c>
      <c r="P18" s="170"/>
      <c r="Q18" s="47" t="s">
        <v>35</v>
      </c>
      <c r="R18" s="48"/>
      <c r="S18" s="48"/>
      <c r="T18" s="48"/>
      <c r="U18" s="167">
        <v>62842.05</v>
      </c>
      <c r="V18" s="168"/>
      <c r="W18" s="157">
        <f>K18</f>
        <v>62842.05</v>
      </c>
      <c r="X18" s="157"/>
      <c r="Z18" s="42">
        <f>U18</f>
        <v>62842.05</v>
      </c>
      <c r="AA18" s="42">
        <f>W18</f>
        <v>62842.05</v>
      </c>
    </row>
    <row r="19" spans="3:27" ht="19.2">
      <c r="C19" s="6" t="s">
        <v>37</v>
      </c>
      <c r="D19" s="6"/>
      <c r="E19" s="6"/>
      <c r="F19" s="6"/>
      <c r="G19" s="192">
        <v>51121.9</v>
      </c>
      <c r="H19" s="193"/>
      <c r="I19" s="194"/>
      <c r="J19" s="195"/>
      <c r="K19" s="191">
        <f>IF(I19="", G19, I19)</f>
        <v>51121.9</v>
      </c>
      <c r="L19" s="191"/>
      <c r="M19" s="6"/>
      <c r="O19" s="171"/>
      <c r="P19" s="172"/>
      <c r="Q19" s="48" t="s">
        <v>37</v>
      </c>
      <c r="R19" s="48"/>
      <c r="S19" s="48"/>
      <c r="T19" s="48"/>
      <c r="U19" s="167">
        <v>51121.9</v>
      </c>
      <c r="V19" s="168"/>
      <c r="W19" s="157">
        <f>K19</f>
        <v>51121.9</v>
      </c>
      <c r="X19" s="157"/>
      <c r="Z19" s="42">
        <f t="shared" ref="Z19:Z27" si="0">U19</f>
        <v>51121.9</v>
      </c>
      <c r="AA19" s="42">
        <f t="shared" ref="AA19:AA27" si="1">W19</f>
        <v>51121.9</v>
      </c>
    </row>
    <row r="20" spans="3:27" ht="19.2">
      <c r="C20" s="6" t="s">
        <v>38</v>
      </c>
      <c r="D20" s="6"/>
      <c r="E20" s="6"/>
      <c r="F20" s="6"/>
      <c r="G20" s="192">
        <v>39390.800000000003</v>
      </c>
      <c r="H20" s="193"/>
      <c r="I20" s="194"/>
      <c r="J20" s="195"/>
      <c r="K20" s="191">
        <f>IF(I20="", G20, I20)</f>
        <v>39390.800000000003</v>
      </c>
      <c r="L20" s="191"/>
      <c r="M20" s="6"/>
      <c r="O20" s="171"/>
      <c r="P20" s="172"/>
      <c r="Q20" s="48" t="s">
        <v>38</v>
      </c>
      <c r="R20" s="48"/>
      <c r="S20" s="48"/>
      <c r="T20" s="48"/>
      <c r="U20" s="167">
        <v>39390.800000000003</v>
      </c>
      <c r="V20" s="168"/>
      <c r="W20" s="157">
        <f>K20</f>
        <v>39390.800000000003</v>
      </c>
      <c r="X20" s="157"/>
      <c r="Z20" s="42">
        <f t="shared" si="0"/>
        <v>39390.800000000003</v>
      </c>
      <c r="AA20" s="42">
        <f t="shared" si="1"/>
        <v>39390.800000000003</v>
      </c>
    </row>
    <row r="21" spans="3:27" ht="19.2">
      <c r="C21" s="6" t="s">
        <v>39</v>
      </c>
      <c r="D21" s="6"/>
      <c r="E21" s="6"/>
      <c r="F21" s="6"/>
      <c r="G21" s="192">
        <v>9004.5500000000011</v>
      </c>
      <c r="H21" s="193"/>
      <c r="I21" s="194"/>
      <c r="J21" s="195"/>
      <c r="K21" s="191">
        <f>IF(I21="", G21, I21)</f>
        <v>9004.5500000000011</v>
      </c>
      <c r="L21" s="191"/>
      <c r="M21" s="6"/>
      <c r="O21" s="173"/>
      <c r="P21" s="174"/>
      <c r="Q21" s="48" t="s">
        <v>39</v>
      </c>
      <c r="R21" s="48"/>
      <c r="S21" s="48"/>
      <c r="T21" s="48"/>
      <c r="U21" s="167">
        <v>9004.5500000000011</v>
      </c>
      <c r="V21" s="168"/>
      <c r="W21" s="157">
        <f>K21</f>
        <v>9004.5500000000011</v>
      </c>
      <c r="X21" s="157"/>
      <c r="Z21" s="42">
        <f t="shared" si="0"/>
        <v>9004.5500000000011</v>
      </c>
      <c r="AA21" s="42">
        <f t="shared" si="1"/>
        <v>9004.5500000000011</v>
      </c>
    </row>
    <row r="22" spans="3:27" ht="19.2">
      <c r="J22" s="30" t="s">
        <v>40</v>
      </c>
      <c r="O22" s="183" t="s">
        <v>41</v>
      </c>
      <c r="P22" s="184"/>
      <c r="Q22" s="43" t="str">
        <f>E36</f>
        <v>Intervention 1: KRT intervention</v>
      </c>
      <c r="R22" s="43"/>
      <c r="S22" s="43"/>
      <c r="T22" s="44"/>
      <c r="U22" s="181">
        <v>0</v>
      </c>
      <c r="V22" s="182"/>
      <c r="W22" s="157">
        <f t="shared" ref="W22:W27" si="2">V36</f>
        <v>0</v>
      </c>
      <c r="X22" s="158"/>
      <c r="Z22" s="42">
        <f t="shared" si="0"/>
        <v>0</v>
      </c>
      <c r="AA22" s="42">
        <f t="shared" si="1"/>
        <v>0</v>
      </c>
    </row>
    <row r="23" spans="3:27" ht="19.2">
      <c r="J23" s="30"/>
      <c r="O23" s="185"/>
      <c r="P23" s="186"/>
      <c r="Q23" s="45" t="str">
        <f>E37</f>
        <v>Intervention 2: KRT intervention</v>
      </c>
      <c r="R23" s="45"/>
      <c r="S23" s="45"/>
      <c r="T23" s="46"/>
      <c r="U23" s="181">
        <v>0</v>
      </c>
      <c r="V23" s="182"/>
      <c r="W23" s="157">
        <f t="shared" si="2"/>
        <v>0</v>
      </c>
      <c r="X23" s="158"/>
      <c r="Z23" s="42">
        <f t="shared" si="0"/>
        <v>0</v>
      </c>
      <c r="AA23" s="42">
        <f t="shared" si="1"/>
        <v>0</v>
      </c>
    </row>
    <row r="24" spans="3:27" ht="19.2">
      <c r="J24" s="30"/>
      <c r="O24" s="185"/>
      <c r="P24" s="186"/>
      <c r="Q24" s="45" t="str">
        <f>E38</f>
        <v>Intervention 3: KRT intervention</v>
      </c>
      <c r="R24" s="45"/>
      <c r="S24" s="45"/>
      <c r="T24" s="46"/>
      <c r="U24" s="181">
        <v>0</v>
      </c>
      <c r="V24" s="182"/>
      <c r="W24" s="157">
        <f t="shared" si="2"/>
        <v>0</v>
      </c>
      <c r="X24" s="158"/>
      <c r="Z24" s="42">
        <f t="shared" si="0"/>
        <v>0</v>
      </c>
      <c r="AA24" s="42">
        <f t="shared" si="1"/>
        <v>0</v>
      </c>
    </row>
    <row r="25" spans="3:27" ht="19.2">
      <c r="J25" s="30"/>
      <c r="O25" s="185"/>
      <c r="P25" s="186"/>
      <c r="Q25" s="45" t="str">
        <f>E39</f>
        <v>Intervention 4</v>
      </c>
      <c r="R25" s="45"/>
      <c r="S25" s="45"/>
      <c r="T25" s="46"/>
      <c r="U25" s="181">
        <v>0</v>
      </c>
      <c r="V25" s="182"/>
      <c r="W25" s="157">
        <f t="shared" si="2"/>
        <v>0</v>
      </c>
      <c r="X25" s="158"/>
      <c r="Z25" s="42">
        <f t="shared" si="0"/>
        <v>0</v>
      </c>
      <c r="AA25" s="42">
        <f t="shared" si="1"/>
        <v>0</v>
      </c>
    </row>
    <row r="26" spans="3:27" ht="19.2">
      <c r="J26" s="30"/>
      <c r="O26" s="185"/>
      <c r="P26" s="186"/>
      <c r="Q26" s="45" t="str">
        <f>E40</f>
        <v>Intervention 5</v>
      </c>
      <c r="R26" s="45"/>
      <c r="S26" s="45"/>
      <c r="T26" s="46"/>
      <c r="U26" s="181">
        <v>0</v>
      </c>
      <c r="V26" s="182"/>
      <c r="W26" s="157">
        <f t="shared" si="2"/>
        <v>0</v>
      </c>
      <c r="X26" s="158"/>
      <c r="Z26" s="42">
        <f t="shared" si="0"/>
        <v>0</v>
      </c>
      <c r="AA26" s="42">
        <f t="shared" si="1"/>
        <v>0</v>
      </c>
    </row>
    <row r="27" spans="3:27" ht="19.2">
      <c r="O27" s="187"/>
      <c r="P27" s="188"/>
      <c r="Q27" s="49" t="s">
        <v>42</v>
      </c>
      <c r="R27" s="50"/>
      <c r="S27" s="50"/>
      <c r="T27" s="51"/>
      <c r="U27" s="181">
        <v>0</v>
      </c>
      <c r="V27" s="182"/>
      <c r="W27" s="159">
        <f t="shared" si="2"/>
        <v>0</v>
      </c>
      <c r="X27" s="160"/>
      <c r="Z27" s="42">
        <f t="shared" si="0"/>
        <v>0</v>
      </c>
      <c r="AA27" s="42">
        <f t="shared" si="1"/>
        <v>0</v>
      </c>
    </row>
    <row r="29" spans="3:27" ht="19.2">
      <c r="C29" s="32" t="s">
        <v>43</v>
      </c>
      <c r="D29" s="10"/>
      <c r="E29" s="10"/>
      <c r="F29" s="10"/>
      <c r="G29" s="10"/>
      <c r="H29" s="10"/>
      <c r="I29" s="10"/>
      <c r="J29" s="10"/>
      <c r="K29" s="10"/>
      <c r="L29" s="10"/>
      <c r="M29" s="39"/>
      <c r="N29" s="8"/>
      <c r="O29" s="8"/>
      <c r="P29" s="8"/>
      <c r="Q29" s="8"/>
      <c r="R29" s="8"/>
      <c r="S29" s="8"/>
      <c r="T29" s="8"/>
      <c r="U29" s="8"/>
      <c r="V29" s="8"/>
      <c r="W29" s="8"/>
      <c r="X29" s="8"/>
    </row>
    <row r="30" spans="3:27" ht="10.95" customHeight="1">
      <c r="C30" s="6"/>
      <c r="D30" s="6"/>
      <c r="E30" s="6"/>
      <c r="F30" s="6"/>
      <c r="G30" s="6"/>
      <c r="H30" s="6"/>
      <c r="I30" s="6"/>
      <c r="J30" s="6"/>
      <c r="K30" s="6"/>
      <c r="L30" s="6"/>
      <c r="M30" s="16"/>
    </row>
    <row r="31" spans="3:27" ht="179.4" customHeight="1">
      <c r="C31" s="198"/>
      <c r="D31" s="198"/>
      <c r="E31" s="198"/>
      <c r="F31" s="198"/>
      <c r="G31" s="198"/>
      <c r="H31" s="198"/>
      <c r="I31" s="198"/>
      <c r="J31" s="198"/>
      <c r="K31" s="198"/>
      <c r="L31" s="198"/>
      <c r="M31" s="198"/>
      <c r="N31" s="198"/>
      <c r="O31" s="198"/>
      <c r="P31" s="198"/>
      <c r="Q31" s="198"/>
      <c r="R31" s="198"/>
      <c r="S31" s="198"/>
      <c r="T31" s="198"/>
      <c r="U31" s="198"/>
      <c r="V31" s="198"/>
      <c r="W31" s="198"/>
      <c r="X31" s="198"/>
    </row>
    <row r="32" spans="3:27" ht="16.8">
      <c r="G32" s="35"/>
      <c r="H32" s="35"/>
      <c r="I32" s="35"/>
      <c r="J32" s="35"/>
      <c r="K32" s="27"/>
      <c r="L32" s="27"/>
      <c r="M32" s="27"/>
      <c r="N32" s="35"/>
      <c r="O32" s="35"/>
      <c r="P32" s="35"/>
      <c r="Q32" s="35"/>
      <c r="R32" s="35"/>
      <c r="S32" s="35"/>
      <c r="T32" s="35"/>
    </row>
    <row r="33" spans="3:23" ht="34.950000000000003" customHeight="1">
      <c r="E33" s="175" t="s">
        <v>44</v>
      </c>
      <c r="F33" s="175"/>
      <c r="G33" s="175"/>
      <c r="H33" s="175"/>
      <c r="I33" s="34">
        <v>2023</v>
      </c>
      <c r="J33" s="34">
        <v>2024</v>
      </c>
      <c r="K33" s="34">
        <v>2025</v>
      </c>
      <c r="L33" s="34">
        <v>2026</v>
      </c>
      <c r="M33" s="34">
        <v>2027</v>
      </c>
      <c r="N33" s="34">
        <v>2028</v>
      </c>
      <c r="O33" s="34">
        <v>2029</v>
      </c>
      <c r="P33" s="34">
        <v>2030</v>
      </c>
      <c r="Q33" s="34">
        <v>2031</v>
      </c>
      <c r="R33" s="34">
        <v>2032</v>
      </c>
      <c r="S33" s="34">
        <v>2033</v>
      </c>
      <c r="T33" s="34">
        <v>2034</v>
      </c>
      <c r="U33" s="34">
        <v>2035</v>
      </c>
      <c r="V33" s="176" t="s">
        <v>45</v>
      </c>
      <c r="W33" s="176"/>
    </row>
    <row r="34" spans="3:23">
      <c r="E34" s="161" t="s">
        <v>46</v>
      </c>
      <c r="F34" s="161"/>
      <c r="G34" s="161"/>
      <c r="H34" s="161"/>
      <c r="I34" s="53"/>
      <c r="J34" s="53"/>
      <c r="K34" s="53"/>
      <c r="L34" s="53"/>
      <c r="M34" s="53"/>
      <c r="N34" s="53">
        <v>10000</v>
      </c>
      <c r="O34" s="53">
        <v>5000</v>
      </c>
      <c r="P34" s="53">
        <v>5000</v>
      </c>
      <c r="Q34" s="53"/>
      <c r="R34" s="53"/>
      <c r="S34" s="53"/>
      <c r="T34" s="53"/>
      <c r="U34" s="53"/>
      <c r="V34" s="156">
        <f t="shared" ref="V34:V41" si="3">SUM(I34:U34)</f>
        <v>20000</v>
      </c>
      <c r="W34" s="156"/>
    </row>
    <row r="35" spans="3:23" s="29" customFormat="1" ht="16.2" customHeight="1">
      <c r="C35" s="197"/>
      <c r="D35" s="197"/>
      <c r="E35" s="161" t="s">
        <v>47</v>
      </c>
      <c r="F35" s="161"/>
      <c r="G35" s="161"/>
      <c r="H35" s="161"/>
      <c r="I35" s="53"/>
      <c r="J35" s="53"/>
      <c r="K35" s="53"/>
      <c r="L35" s="53"/>
      <c r="M35" s="53">
        <v>50000</v>
      </c>
      <c r="N35" s="53">
        <v>500</v>
      </c>
      <c r="O35" s="53">
        <v>500</v>
      </c>
      <c r="P35" s="53">
        <v>500</v>
      </c>
      <c r="Q35" s="53">
        <v>10500</v>
      </c>
      <c r="R35" s="53">
        <v>500</v>
      </c>
      <c r="S35" s="53">
        <v>500</v>
      </c>
      <c r="T35" s="53">
        <v>500</v>
      </c>
      <c r="U35" s="53">
        <v>500</v>
      </c>
      <c r="V35" s="156">
        <f t="shared" si="3"/>
        <v>64000</v>
      </c>
      <c r="W35" s="156"/>
    </row>
    <row r="36" spans="3:23">
      <c r="C36" s="177" t="s">
        <v>48</v>
      </c>
      <c r="D36" s="177"/>
      <c r="E36" s="162" t="s">
        <v>83</v>
      </c>
      <c r="F36" s="163"/>
      <c r="G36" s="163"/>
      <c r="H36" s="164"/>
      <c r="I36" s="59"/>
      <c r="J36" s="59"/>
      <c r="K36" s="59"/>
      <c r="L36" s="52"/>
      <c r="M36" s="52"/>
      <c r="N36" s="52"/>
      <c r="O36" s="52"/>
      <c r="P36" s="52"/>
      <c r="Q36" s="52"/>
      <c r="R36" s="52"/>
      <c r="S36" s="52"/>
      <c r="T36" s="52"/>
      <c r="U36" s="52"/>
      <c r="V36" s="189">
        <f t="shared" si="3"/>
        <v>0</v>
      </c>
      <c r="W36" s="190"/>
    </row>
    <row r="37" spans="3:23">
      <c r="C37" s="178" t="s">
        <v>49</v>
      </c>
      <c r="D37" s="178"/>
      <c r="E37" s="162" t="s">
        <v>76</v>
      </c>
      <c r="F37" s="163"/>
      <c r="G37" s="163"/>
      <c r="H37" s="164"/>
      <c r="I37" s="52"/>
      <c r="J37" s="52"/>
      <c r="K37" s="52"/>
      <c r="L37" s="52"/>
      <c r="M37" s="52"/>
      <c r="N37" s="52"/>
      <c r="O37" s="52"/>
      <c r="P37" s="52"/>
      <c r="Q37" s="52"/>
      <c r="R37" s="52"/>
      <c r="S37" s="52"/>
      <c r="T37" s="52"/>
      <c r="U37" s="52"/>
      <c r="V37" s="156">
        <f t="shared" si="3"/>
        <v>0</v>
      </c>
      <c r="W37" s="156"/>
    </row>
    <row r="38" spans="3:23">
      <c r="C38" s="178" t="s">
        <v>50</v>
      </c>
      <c r="D38" s="178"/>
      <c r="E38" s="162" t="s">
        <v>77</v>
      </c>
      <c r="F38" s="163"/>
      <c r="G38" s="163"/>
      <c r="H38" s="164"/>
      <c r="I38" s="52"/>
      <c r="J38" s="52"/>
      <c r="K38" s="52"/>
      <c r="L38" s="52"/>
      <c r="M38" s="52"/>
      <c r="N38" s="52"/>
      <c r="O38" s="52"/>
      <c r="P38" s="52"/>
      <c r="Q38" s="52"/>
      <c r="R38" s="52"/>
      <c r="S38" s="52"/>
      <c r="T38" s="52"/>
      <c r="U38" s="52"/>
      <c r="V38" s="156">
        <f t="shared" si="3"/>
        <v>0</v>
      </c>
      <c r="W38" s="156"/>
    </row>
    <row r="39" spans="3:23" ht="15" hidden="1" customHeight="1">
      <c r="C39" s="178" t="s">
        <v>51</v>
      </c>
      <c r="D39" s="178"/>
      <c r="E39" s="162" t="s">
        <v>51</v>
      </c>
      <c r="F39" s="163"/>
      <c r="G39" s="163"/>
      <c r="H39" s="164"/>
      <c r="I39" s="52"/>
      <c r="J39" s="52"/>
      <c r="K39" s="52"/>
      <c r="L39" s="52"/>
      <c r="M39" s="52"/>
      <c r="N39" s="52"/>
      <c r="O39" s="52"/>
      <c r="P39" s="52"/>
      <c r="Q39" s="52"/>
      <c r="R39" s="52"/>
      <c r="S39" s="52"/>
      <c r="T39" s="52"/>
      <c r="U39" s="52"/>
      <c r="V39" s="156">
        <f t="shared" si="3"/>
        <v>0</v>
      </c>
      <c r="W39" s="156"/>
    </row>
    <row r="40" spans="3:23" ht="15" hidden="1" customHeight="1">
      <c r="C40" s="178" t="s">
        <v>52</v>
      </c>
      <c r="D40" s="178"/>
      <c r="E40" s="162" t="s">
        <v>52</v>
      </c>
      <c r="F40" s="163"/>
      <c r="G40" s="163"/>
      <c r="H40" s="164"/>
      <c r="I40" s="52"/>
      <c r="J40" s="52"/>
      <c r="K40" s="52"/>
      <c r="L40" s="52"/>
      <c r="M40" s="52"/>
      <c r="N40" s="52"/>
      <c r="O40" s="52"/>
      <c r="P40" s="52"/>
      <c r="Q40" s="52"/>
      <c r="R40" s="52"/>
      <c r="S40" s="52"/>
      <c r="T40" s="52"/>
      <c r="U40" s="52"/>
      <c r="V40" s="156">
        <f t="shared" si="3"/>
        <v>0</v>
      </c>
      <c r="W40" s="156"/>
    </row>
    <row r="41" spans="3:23">
      <c r="C41" s="179" t="s">
        <v>75</v>
      </c>
      <c r="D41" s="179"/>
      <c r="E41" s="180" t="s">
        <v>53</v>
      </c>
      <c r="F41" s="180"/>
      <c r="G41" s="180"/>
      <c r="H41" s="180"/>
      <c r="I41" s="36">
        <f>SUM(I36:I38)</f>
        <v>0</v>
      </c>
      <c r="J41" s="36">
        <f t="shared" ref="J41:U41" si="4">SUM(J36:J38)</f>
        <v>0</v>
      </c>
      <c r="K41" s="36">
        <f t="shared" si="4"/>
        <v>0</v>
      </c>
      <c r="L41" s="36">
        <f t="shared" si="4"/>
        <v>0</v>
      </c>
      <c r="M41" s="36">
        <f t="shared" si="4"/>
        <v>0</v>
      </c>
      <c r="N41" s="36">
        <f t="shared" si="4"/>
        <v>0</v>
      </c>
      <c r="O41" s="36">
        <f t="shared" si="4"/>
        <v>0</v>
      </c>
      <c r="P41" s="36">
        <f t="shared" si="4"/>
        <v>0</v>
      </c>
      <c r="Q41" s="36">
        <f t="shared" si="4"/>
        <v>0</v>
      </c>
      <c r="R41" s="36">
        <f t="shared" si="4"/>
        <v>0</v>
      </c>
      <c r="S41" s="36">
        <f t="shared" si="4"/>
        <v>0</v>
      </c>
      <c r="T41" s="36">
        <f t="shared" si="4"/>
        <v>0</v>
      </c>
      <c r="U41" s="36">
        <f t="shared" si="4"/>
        <v>0</v>
      </c>
      <c r="V41" s="156">
        <f t="shared" si="3"/>
        <v>0</v>
      </c>
      <c r="W41" s="156"/>
    </row>
    <row r="44" spans="3:23" ht="16.8">
      <c r="E44" s="40"/>
    </row>
    <row r="45" spans="3:23">
      <c r="C45"/>
      <c r="D45"/>
      <c r="E45"/>
      <c r="F45"/>
      <c r="G45"/>
      <c r="H45"/>
      <c r="I45"/>
      <c r="J45"/>
      <c r="K45"/>
      <c r="L45"/>
    </row>
    <row r="46" spans="3:23">
      <c r="C46"/>
      <c r="D46"/>
      <c r="E46"/>
      <c r="F46"/>
      <c r="G46"/>
      <c r="H46"/>
      <c r="I46"/>
      <c r="J46"/>
      <c r="K46"/>
      <c r="L46"/>
    </row>
    <row r="47" spans="3:23">
      <c r="C47"/>
      <c r="D47"/>
      <c r="E47"/>
      <c r="F47"/>
      <c r="G47"/>
      <c r="H47"/>
      <c r="I47"/>
      <c r="J47"/>
      <c r="K47"/>
      <c r="L47"/>
    </row>
    <row r="48" spans="3:23">
      <c r="C48"/>
      <c r="D48"/>
      <c r="E48"/>
      <c r="F48"/>
      <c r="G48"/>
      <c r="H48"/>
      <c r="I48"/>
      <c r="J48"/>
      <c r="K48"/>
      <c r="L48"/>
    </row>
    <row r="49" spans="3:12">
      <c r="C49"/>
      <c r="D49"/>
      <c r="E49"/>
      <c r="F49"/>
      <c r="G49"/>
      <c r="H49"/>
      <c r="I49"/>
      <c r="J49"/>
      <c r="K49"/>
      <c r="L49"/>
    </row>
    <row r="50" spans="3:12">
      <c r="C50"/>
      <c r="D50"/>
      <c r="E50"/>
      <c r="F50"/>
      <c r="G50"/>
      <c r="H50"/>
      <c r="I50"/>
      <c r="J50"/>
      <c r="K50"/>
      <c r="L50"/>
    </row>
    <row r="51" spans="3:12">
      <c r="C51"/>
      <c r="D51"/>
      <c r="E51"/>
      <c r="F51"/>
      <c r="G51"/>
      <c r="H51"/>
      <c r="I51"/>
      <c r="J51"/>
      <c r="K51"/>
      <c r="L51"/>
    </row>
    <row r="52" spans="3:12">
      <c r="C52"/>
      <c r="D52"/>
      <c r="E52"/>
      <c r="F52"/>
      <c r="G52"/>
      <c r="H52"/>
      <c r="I52"/>
      <c r="J52"/>
      <c r="K52"/>
      <c r="L52"/>
    </row>
    <row r="53" spans="3:12">
      <c r="C53"/>
      <c r="D53"/>
      <c r="E53"/>
      <c r="F53"/>
      <c r="G53"/>
      <c r="H53"/>
      <c r="I53"/>
      <c r="J53"/>
      <c r="K53"/>
      <c r="L53"/>
    </row>
    <row r="54" spans="3:12">
      <c r="C54"/>
      <c r="D54"/>
      <c r="E54"/>
      <c r="F54"/>
      <c r="G54"/>
      <c r="H54"/>
      <c r="I54"/>
      <c r="J54"/>
      <c r="K54"/>
      <c r="L54"/>
    </row>
    <row r="55" spans="3:12">
      <c r="C55"/>
      <c r="D55"/>
      <c r="E55"/>
      <c r="F55"/>
      <c r="G55"/>
      <c r="H55"/>
      <c r="I55"/>
      <c r="J55"/>
      <c r="K55"/>
      <c r="L55"/>
    </row>
    <row r="97" spans="1:2">
      <c r="A97" s="4"/>
      <c r="B97" s="5">
        <f>TxType!B1</f>
        <v>0.4</v>
      </c>
    </row>
    <row r="98" spans="1:2">
      <c r="A98" s="4">
        <v>1</v>
      </c>
      <c r="B98" s="5">
        <f>TxType!B2</f>
        <v>0.25</v>
      </c>
    </row>
    <row r="99" spans="1:2">
      <c r="A99" s="4">
        <v>2</v>
      </c>
      <c r="B99" s="5">
        <f>TxType!B3</f>
        <v>0.25</v>
      </c>
    </row>
    <row r="100" spans="1:2">
      <c r="A100" s="4">
        <v>3</v>
      </c>
      <c r="B100" s="5">
        <f>TxType!B4</f>
        <v>0.25</v>
      </c>
    </row>
    <row r="101" spans="1:2">
      <c r="A101" s="4">
        <v>4</v>
      </c>
      <c r="B101" s="5">
        <f>TxType!B5</f>
        <v>0.15</v>
      </c>
    </row>
    <row r="102" spans="1:2">
      <c r="A102" s="4">
        <v>5</v>
      </c>
      <c r="B102" s="5">
        <f>TxType!B6</f>
        <v>0</v>
      </c>
    </row>
  </sheetData>
  <mergeCells count="67">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 ref="K20:L20"/>
    <mergeCell ref="G21:H21"/>
    <mergeCell ref="I21:J21"/>
    <mergeCell ref="K21:L21"/>
    <mergeCell ref="U20:V20"/>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E40:H40"/>
    <mergeCell ref="C36:D36"/>
    <mergeCell ref="C37:D37"/>
    <mergeCell ref="V37:W37"/>
    <mergeCell ref="V38:W38"/>
    <mergeCell ref="V39:W39"/>
    <mergeCell ref="C38:D38"/>
    <mergeCell ref="E37:H3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V34:W34"/>
    <mergeCell ref="W23:X23"/>
    <mergeCell ref="W24:X24"/>
    <mergeCell ref="W25:X25"/>
    <mergeCell ref="W26:X26"/>
    <mergeCell ref="W27:X27"/>
  </mergeCells>
  <phoneticPr fontId="23" type="noConversion"/>
  <conditionalFormatting sqref="J22:M26">
    <cfRule type="expression" dxfId="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topLeftCell="A21" zoomScale="85" zoomScaleNormal="85" workbookViewId="0">
      <selection activeCell="N50" sqref="N50"/>
    </sheetView>
  </sheetViews>
  <sheetFormatPr defaultColWidth="9.6640625" defaultRowHeight="16.8"/>
  <cols>
    <col min="1" max="16384" width="9.6640625" style="6"/>
  </cols>
  <sheetData>
    <row r="14" spans="25:25">
      <c r="Y14" s="31"/>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4.4"/>
  <cols>
    <col min="3" max="3" width="17.21875" customWidth="1"/>
    <col min="5" max="5" width="16.5546875" customWidth="1"/>
  </cols>
  <sheetData>
    <row r="1" spans="1:6">
      <c r="A1" s="1" t="s">
        <v>4</v>
      </c>
      <c r="B1" s="1" t="s">
        <v>59</v>
      </c>
      <c r="C1" s="1" t="s">
        <v>60</v>
      </c>
      <c r="E1" t="s">
        <v>61</v>
      </c>
      <c r="F1" t="s">
        <v>62</v>
      </c>
    </row>
    <row r="2" spans="1:6">
      <c r="A2" t="s">
        <v>183</v>
      </c>
      <c r="B2" t="s">
        <v>184</v>
      </c>
      <c r="C2" t="s">
        <v>10</v>
      </c>
      <c r="E2" t="s">
        <v>184</v>
      </c>
      <c r="F2" s="3">
        <v>1</v>
      </c>
    </row>
    <row r="3" spans="1:6">
      <c r="C3" t="s">
        <v>24</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546875" defaultRowHeight="14.4"/>
  <cols>
    <col min="1" max="16384" width="11.5546875" style="4"/>
  </cols>
  <sheetData>
    <row r="1" spans="1:4">
      <c r="A1" s="71" t="s">
        <v>118</v>
      </c>
      <c r="B1"/>
      <c r="C1" s="1" t="s">
        <v>63</v>
      </c>
      <c r="D1" s="1" t="s">
        <v>137</v>
      </c>
    </row>
    <row r="2" spans="1:4">
      <c r="A2" s="4" t="s">
        <v>136</v>
      </c>
      <c r="B2"/>
      <c r="C2"/>
      <c r="D2"/>
    </row>
    <row r="3" spans="1:4">
      <c r="B3" t="s">
        <v>119</v>
      </c>
      <c r="C3" s="4">
        <v>0</v>
      </c>
      <c r="D3" s="4">
        <v>0</v>
      </c>
    </row>
    <row r="4" spans="1:4">
      <c r="B4" t="s">
        <v>120</v>
      </c>
      <c r="C4" s="4">
        <v>0</v>
      </c>
      <c r="D4" s="4">
        <v>0</v>
      </c>
    </row>
    <row r="5" spans="1:4">
      <c r="B5" t="s">
        <v>121</v>
      </c>
      <c r="C5" s="4">
        <v>0</v>
      </c>
      <c r="D5" s="4">
        <v>0</v>
      </c>
    </row>
    <row r="6" spans="1:4">
      <c r="B6" t="s">
        <v>122</v>
      </c>
      <c r="C6" s="4">
        <v>0</v>
      </c>
      <c r="D6" s="4">
        <v>0</v>
      </c>
    </row>
    <row r="7" spans="1:4">
      <c r="A7"/>
      <c r="B7" t="s">
        <v>123</v>
      </c>
      <c r="C7" s="4">
        <v>0</v>
      </c>
      <c r="D7" s="4">
        <v>0</v>
      </c>
    </row>
    <row r="8" spans="1:4">
      <c r="A8"/>
      <c r="B8" t="s">
        <v>124</v>
      </c>
      <c r="C8" s="4">
        <v>0</v>
      </c>
      <c r="D8" s="4">
        <v>0</v>
      </c>
    </row>
    <row r="9" spans="1:4">
      <c r="A9"/>
      <c r="B9" t="s">
        <v>125</v>
      </c>
      <c r="C9" s="4">
        <v>0</v>
      </c>
      <c r="D9" s="4">
        <v>0</v>
      </c>
    </row>
    <row r="10" spans="1:4">
      <c r="A10"/>
      <c r="B10" t="s">
        <v>126</v>
      </c>
      <c r="C10" s="4">
        <v>0</v>
      </c>
      <c r="D10" s="4">
        <v>0</v>
      </c>
    </row>
    <row r="11" spans="1:4">
      <c r="A11"/>
      <c r="B11" t="s">
        <v>127</v>
      </c>
      <c r="C11" s="4">
        <v>0</v>
      </c>
      <c r="D11" s="4">
        <v>0</v>
      </c>
    </row>
    <row r="12" spans="1:4">
      <c r="A12"/>
      <c r="B12" t="s">
        <v>128</v>
      </c>
      <c r="C12" s="4">
        <v>0</v>
      </c>
      <c r="D12" s="4">
        <v>0</v>
      </c>
    </row>
    <row r="13" spans="1:4">
      <c r="A13"/>
      <c r="B13" t="s">
        <v>129</v>
      </c>
      <c r="C13" s="4">
        <v>0</v>
      </c>
      <c r="D13" s="4">
        <v>0</v>
      </c>
    </row>
    <row r="14" spans="1:4">
      <c r="A14"/>
      <c r="B14" t="s">
        <v>130</v>
      </c>
      <c r="C14" s="4">
        <v>0</v>
      </c>
      <c r="D14" s="4">
        <v>0</v>
      </c>
    </row>
    <row r="15" spans="1:4">
      <c r="A15"/>
      <c r="B15"/>
    </row>
    <row r="16" spans="1:4">
      <c r="A16" t="s">
        <v>131</v>
      </c>
      <c r="B16"/>
    </row>
    <row r="17" spans="1:4">
      <c r="A17"/>
      <c r="B17" t="s">
        <v>119</v>
      </c>
      <c r="C17" s="4">
        <v>10</v>
      </c>
      <c r="D17" s="4">
        <v>20</v>
      </c>
    </row>
    <row r="18" spans="1:4">
      <c r="A18"/>
      <c r="B18" t="s">
        <v>120</v>
      </c>
      <c r="C18" s="4">
        <v>10</v>
      </c>
      <c r="D18" s="4">
        <v>20</v>
      </c>
    </row>
    <row r="19" spans="1:4">
      <c r="A19"/>
      <c r="B19" t="s">
        <v>121</v>
      </c>
      <c r="C19" s="4">
        <v>10</v>
      </c>
      <c r="D19" s="4">
        <v>20</v>
      </c>
    </row>
    <row r="20" spans="1:4">
      <c r="A20"/>
      <c r="B20" t="s">
        <v>122</v>
      </c>
      <c r="C20" s="4">
        <v>10</v>
      </c>
      <c r="D20" s="4">
        <v>20</v>
      </c>
    </row>
    <row r="21" spans="1:4">
      <c r="A21"/>
      <c r="B21" t="s">
        <v>123</v>
      </c>
      <c r="C21" s="4">
        <v>10</v>
      </c>
      <c r="D21" s="4">
        <v>20</v>
      </c>
    </row>
    <row r="22" spans="1:4">
      <c r="A22"/>
      <c r="B22" t="s">
        <v>124</v>
      </c>
      <c r="C22" s="4">
        <v>10</v>
      </c>
      <c r="D22" s="4">
        <v>20</v>
      </c>
    </row>
    <row r="23" spans="1:4">
      <c r="A23"/>
      <c r="B23" t="s">
        <v>125</v>
      </c>
      <c r="C23" s="4">
        <v>10</v>
      </c>
      <c r="D23" s="4">
        <v>20</v>
      </c>
    </row>
    <row r="24" spans="1:4">
      <c r="A24"/>
      <c r="B24" t="s">
        <v>126</v>
      </c>
      <c r="C24" s="4">
        <v>10</v>
      </c>
      <c r="D24" s="4">
        <v>20</v>
      </c>
    </row>
    <row r="25" spans="1:4">
      <c r="A25"/>
      <c r="B25" t="s">
        <v>127</v>
      </c>
      <c r="C25" s="4">
        <v>10</v>
      </c>
      <c r="D25" s="4">
        <v>20</v>
      </c>
    </row>
    <row r="26" spans="1:4">
      <c r="A26"/>
      <c r="B26" t="s">
        <v>128</v>
      </c>
      <c r="C26" s="4">
        <v>10</v>
      </c>
      <c r="D26" s="4">
        <v>20</v>
      </c>
    </row>
    <row r="27" spans="1:4">
      <c r="A27"/>
      <c r="B27" t="s">
        <v>129</v>
      </c>
      <c r="C27" s="4">
        <v>10</v>
      </c>
      <c r="D27" s="4">
        <v>20</v>
      </c>
    </row>
    <row r="28" spans="1:4">
      <c r="A28"/>
      <c r="B28" t="s">
        <v>130</v>
      </c>
      <c r="C28" s="4">
        <v>10</v>
      </c>
      <c r="D28" s="4">
        <v>20</v>
      </c>
    </row>
    <row r="29" spans="1:4">
      <c r="A29"/>
      <c r="B29"/>
    </row>
    <row r="30" spans="1:4">
      <c r="A30" t="s">
        <v>132</v>
      </c>
      <c r="B30"/>
    </row>
    <row r="31" spans="1:4">
      <c r="A31"/>
      <c r="B31" t="s">
        <v>119</v>
      </c>
      <c r="C31" s="4">
        <v>1</v>
      </c>
      <c r="D31" s="4">
        <v>7</v>
      </c>
    </row>
    <row r="32" spans="1:4">
      <c r="A32"/>
      <c r="B32" t="s">
        <v>120</v>
      </c>
      <c r="C32" s="4">
        <v>1</v>
      </c>
      <c r="D32" s="4">
        <v>7</v>
      </c>
    </row>
    <row r="33" spans="1:4">
      <c r="A33"/>
      <c r="B33" t="s">
        <v>121</v>
      </c>
      <c r="C33" s="4">
        <v>1</v>
      </c>
      <c r="D33" s="4">
        <v>7</v>
      </c>
    </row>
    <row r="34" spans="1:4">
      <c r="A34"/>
      <c r="B34" t="s">
        <v>122</v>
      </c>
      <c r="C34" s="4">
        <v>1</v>
      </c>
      <c r="D34" s="4">
        <v>7</v>
      </c>
    </row>
    <row r="35" spans="1:4">
      <c r="A35"/>
      <c r="B35" t="s">
        <v>123</v>
      </c>
      <c r="C35" s="4">
        <v>1</v>
      </c>
      <c r="D35" s="4">
        <v>7</v>
      </c>
    </row>
    <row r="36" spans="1:4">
      <c r="A36"/>
      <c r="B36" t="s">
        <v>124</v>
      </c>
      <c r="C36" s="4">
        <v>1</v>
      </c>
      <c r="D36" s="4">
        <v>7</v>
      </c>
    </row>
    <row r="37" spans="1:4">
      <c r="A37"/>
      <c r="B37" t="s">
        <v>125</v>
      </c>
      <c r="C37" s="4">
        <v>1</v>
      </c>
      <c r="D37" s="4">
        <v>7</v>
      </c>
    </row>
    <row r="38" spans="1:4">
      <c r="A38"/>
      <c r="B38" t="s">
        <v>126</v>
      </c>
      <c r="C38" s="4">
        <v>1</v>
      </c>
      <c r="D38" s="4">
        <v>7</v>
      </c>
    </row>
    <row r="39" spans="1:4">
      <c r="A39"/>
      <c r="B39" t="s">
        <v>127</v>
      </c>
      <c r="C39" s="4">
        <v>1</v>
      </c>
      <c r="D39" s="4">
        <v>7</v>
      </c>
    </row>
    <row r="40" spans="1:4">
      <c r="A40"/>
      <c r="B40" t="s">
        <v>128</v>
      </c>
      <c r="C40" s="4">
        <v>1</v>
      </c>
      <c r="D40" s="4">
        <v>7</v>
      </c>
    </row>
    <row r="41" spans="1:4">
      <c r="A41"/>
      <c r="B41" t="s">
        <v>129</v>
      </c>
      <c r="C41" s="4">
        <v>1</v>
      </c>
      <c r="D41" s="4">
        <v>7</v>
      </c>
    </row>
    <row r="42" spans="1:4">
      <c r="A42"/>
      <c r="B42" t="s">
        <v>130</v>
      </c>
      <c r="C42" s="4">
        <v>1</v>
      </c>
      <c r="D42" s="4">
        <v>7</v>
      </c>
    </row>
    <row r="43" spans="1:4">
      <c r="A43"/>
      <c r="B43"/>
    </row>
    <row r="44" spans="1:4">
      <c r="A44" t="s">
        <v>133</v>
      </c>
      <c r="B44"/>
    </row>
    <row r="45" spans="1:4">
      <c r="A45"/>
      <c r="B45" t="s">
        <v>119</v>
      </c>
      <c r="C45" s="4">
        <v>7</v>
      </c>
      <c r="D45" s="4">
        <v>10</v>
      </c>
    </row>
    <row r="46" spans="1:4">
      <c r="A46"/>
      <c r="B46" t="s">
        <v>120</v>
      </c>
      <c r="C46" s="4">
        <v>7</v>
      </c>
      <c r="D46" s="4">
        <v>10</v>
      </c>
    </row>
    <row r="47" spans="1:4">
      <c r="A47"/>
      <c r="B47" t="s">
        <v>121</v>
      </c>
      <c r="C47" s="4">
        <v>7</v>
      </c>
      <c r="D47" s="4">
        <v>10</v>
      </c>
    </row>
    <row r="48" spans="1:4">
      <c r="A48"/>
      <c r="B48" t="s">
        <v>122</v>
      </c>
      <c r="C48" s="4">
        <v>7</v>
      </c>
      <c r="D48" s="4">
        <v>10</v>
      </c>
    </row>
    <row r="49" spans="1:4">
      <c r="A49"/>
      <c r="B49" t="s">
        <v>123</v>
      </c>
      <c r="C49" s="4">
        <v>7</v>
      </c>
      <c r="D49" s="4">
        <v>10</v>
      </c>
    </row>
    <row r="50" spans="1:4">
      <c r="A50"/>
      <c r="B50" t="s">
        <v>124</v>
      </c>
      <c r="C50" s="4">
        <v>7</v>
      </c>
      <c r="D50" s="4">
        <v>10</v>
      </c>
    </row>
    <row r="51" spans="1:4">
      <c r="A51"/>
      <c r="B51" t="s">
        <v>125</v>
      </c>
      <c r="C51" s="4">
        <v>7</v>
      </c>
      <c r="D51" s="4">
        <v>10</v>
      </c>
    </row>
    <row r="52" spans="1:4">
      <c r="A52"/>
      <c r="B52" t="s">
        <v>126</v>
      </c>
      <c r="C52" s="4">
        <v>7</v>
      </c>
      <c r="D52" s="4">
        <v>10</v>
      </c>
    </row>
    <row r="53" spans="1:4">
      <c r="A53"/>
      <c r="B53" t="s">
        <v>127</v>
      </c>
      <c r="C53" s="4">
        <v>7</v>
      </c>
      <c r="D53" s="4">
        <v>10</v>
      </c>
    </row>
    <row r="54" spans="1:4">
      <c r="A54"/>
      <c r="B54" t="s">
        <v>128</v>
      </c>
      <c r="C54" s="4">
        <v>7</v>
      </c>
      <c r="D54" s="4">
        <v>10</v>
      </c>
    </row>
    <row r="55" spans="1:4">
      <c r="A55"/>
      <c r="B55" t="s">
        <v>129</v>
      </c>
      <c r="C55" s="4">
        <v>7</v>
      </c>
      <c r="D55" s="4">
        <v>10</v>
      </c>
    </row>
    <row r="56" spans="1:4">
      <c r="A56"/>
      <c r="B56" t="s">
        <v>130</v>
      </c>
      <c r="C56" s="4">
        <v>7</v>
      </c>
      <c r="D56" s="4">
        <v>10</v>
      </c>
    </row>
    <row r="57" spans="1:4">
      <c r="A57"/>
      <c r="B57"/>
    </row>
    <row r="58" spans="1:4">
      <c r="A58" t="s">
        <v>134</v>
      </c>
      <c r="B58"/>
    </row>
    <row r="59" spans="1:4">
      <c r="A59"/>
      <c r="B59" t="s">
        <v>119</v>
      </c>
      <c r="C59" s="4">
        <v>3</v>
      </c>
      <c r="D59" s="4">
        <v>10</v>
      </c>
    </row>
    <row r="60" spans="1:4">
      <c r="A60"/>
      <c r="B60" t="s">
        <v>120</v>
      </c>
      <c r="C60" s="4">
        <v>3</v>
      </c>
      <c r="D60" s="4">
        <v>10</v>
      </c>
    </row>
    <row r="61" spans="1:4">
      <c r="A61"/>
      <c r="B61" t="s">
        <v>121</v>
      </c>
      <c r="C61" s="4">
        <v>3</v>
      </c>
      <c r="D61" s="4">
        <v>10</v>
      </c>
    </row>
    <row r="62" spans="1:4">
      <c r="A62"/>
      <c r="B62" t="s">
        <v>122</v>
      </c>
      <c r="C62" s="4">
        <v>3</v>
      </c>
      <c r="D62" s="4">
        <v>10</v>
      </c>
    </row>
    <row r="63" spans="1:4">
      <c r="A63"/>
      <c r="B63" t="s">
        <v>123</v>
      </c>
      <c r="C63" s="4">
        <v>3</v>
      </c>
      <c r="D63" s="4">
        <v>10</v>
      </c>
    </row>
    <row r="64" spans="1:4">
      <c r="A64"/>
      <c r="B64" t="s">
        <v>124</v>
      </c>
      <c r="C64" s="4">
        <v>3</v>
      </c>
      <c r="D64" s="4">
        <v>10</v>
      </c>
    </row>
    <row r="65" spans="1:4">
      <c r="A65"/>
      <c r="B65" t="s">
        <v>125</v>
      </c>
      <c r="C65" s="4">
        <v>3</v>
      </c>
      <c r="D65" s="4">
        <v>10</v>
      </c>
    </row>
    <row r="66" spans="1:4">
      <c r="A66"/>
      <c r="B66" t="s">
        <v>126</v>
      </c>
      <c r="C66" s="4">
        <v>3</v>
      </c>
      <c r="D66" s="4">
        <v>10</v>
      </c>
    </row>
    <row r="67" spans="1:4">
      <c r="A67"/>
      <c r="B67" t="s">
        <v>127</v>
      </c>
      <c r="C67" s="4">
        <v>3</v>
      </c>
      <c r="D67" s="4">
        <v>10</v>
      </c>
    </row>
    <row r="68" spans="1:4">
      <c r="A68"/>
      <c r="B68" t="s">
        <v>128</v>
      </c>
      <c r="C68" s="4">
        <v>3</v>
      </c>
      <c r="D68" s="4">
        <v>10</v>
      </c>
    </row>
    <row r="69" spans="1:4">
      <c r="A69"/>
      <c r="B69" t="s">
        <v>129</v>
      </c>
      <c r="C69" s="4">
        <v>3</v>
      </c>
      <c r="D69" s="4">
        <v>10</v>
      </c>
    </row>
    <row r="70" spans="1:4">
      <c r="A70"/>
      <c r="B70" t="s">
        <v>130</v>
      </c>
      <c r="C70" s="4">
        <v>3</v>
      </c>
      <c r="D70" s="4">
        <v>10</v>
      </c>
    </row>
    <row r="71" spans="1:4">
      <c r="A71"/>
      <c r="B71"/>
    </row>
    <row r="72" spans="1:4">
      <c r="A72" t="s">
        <v>135</v>
      </c>
      <c r="B72"/>
    </row>
    <row r="73" spans="1:4">
      <c r="A73"/>
      <c r="B73" t="s">
        <v>119</v>
      </c>
      <c r="C73" s="4">
        <v>10</v>
      </c>
      <c r="D73" s="4">
        <v>25</v>
      </c>
    </row>
    <row r="74" spans="1:4">
      <c r="A74"/>
      <c r="B74" t="s">
        <v>120</v>
      </c>
      <c r="C74" s="4">
        <v>10</v>
      </c>
      <c r="D74" s="4">
        <v>25</v>
      </c>
    </row>
    <row r="75" spans="1:4">
      <c r="A75"/>
      <c r="B75" t="s">
        <v>121</v>
      </c>
      <c r="C75" s="4">
        <v>10</v>
      </c>
      <c r="D75" s="4">
        <v>25</v>
      </c>
    </row>
    <row r="76" spans="1:4">
      <c r="A76"/>
      <c r="B76" t="s">
        <v>122</v>
      </c>
      <c r="C76" s="4">
        <v>10</v>
      </c>
      <c r="D76" s="4">
        <v>25</v>
      </c>
    </row>
    <row r="77" spans="1:4">
      <c r="A77"/>
      <c r="B77" t="s">
        <v>123</v>
      </c>
      <c r="C77" s="4">
        <v>10</v>
      </c>
      <c r="D77" s="4">
        <v>25</v>
      </c>
    </row>
    <row r="78" spans="1:4">
      <c r="A78"/>
      <c r="B78" t="s">
        <v>124</v>
      </c>
      <c r="C78" s="4">
        <v>10</v>
      </c>
      <c r="D78" s="4">
        <v>25</v>
      </c>
    </row>
    <row r="79" spans="1:4">
      <c r="A79"/>
      <c r="B79" t="s">
        <v>125</v>
      </c>
      <c r="C79" s="4">
        <v>10</v>
      </c>
      <c r="D79" s="4">
        <v>25</v>
      </c>
    </row>
    <row r="80" spans="1:4">
      <c r="A80"/>
      <c r="B80" t="s">
        <v>126</v>
      </c>
      <c r="C80" s="4">
        <v>10</v>
      </c>
      <c r="D80" s="4">
        <v>25</v>
      </c>
    </row>
    <row r="81" spans="1:4">
      <c r="A81"/>
      <c r="B81" t="s">
        <v>127</v>
      </c>
      <c r="C81" s="4">
        <v>10</v>
      </c>
      <c r="D81" s="4">
        <v>25</v>
      </c>
    </row>
    <row r="82" spans="1:4">
      <c r="A82"/>
      <c r="B82" t="s">
        <v>128</v>
      </c>
      <c r="C82" s="4">
        <v>10</v>
      </c>
      <c r="D82" s="4">
        <v>25</v>
      </c>
    </row>
    <row r="83" spans="1:4">
      <c r="A83"/>
      <c r="B83" t="s">
        <v>129</v>
      </c>
      <c r="C83" s="4">
        <v>10</v>
      </c>
      <c r="D83" s="4">
        <v>25</v>
      </c>
    </row>
    <row r="84" spans="1:4">
      <c r="A84"/>
      <c r="B84" t="s">
        <v>130</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546875" defaultRowHeight="14.4"/>
  <cols>
    <col min="1" max="16384" width="11.5546875" style="4"/>
  </cols>
  <sheetData>
    <row r="1" spans="1:2">
      <c r="A1" s="4" t="s">
        <v>65</v>
      </c>
      <c r="B1" s="4">
        <v>0.05</v>
      </c>
    </row>
    <row r="2" spans="1:2">
      <c r="A2" s="4" t="s">
        <v>67</v>
      </c>
      <c r="B2" s="4">
        <v>7.0000000000000007E-2</v>
      </c>
    </row>
    <row r="3" spans="1:2">
      <c r="A3" s="4" t="s">
        <v>68</v>
      </c>
      <c r="B3" s="4">
        <v>0.12</v>
      </c>
    </row>
    <row r="4" spans="1:2">
      <c r="A4" s="4" t="s">
        <v>69</v>
      </c>
      <c r="B4" s="4">
        <v>0.2</v>
      </c>
    </row>
    <row r="5" spans="1:2">
      <c r="A5" s="4" t="s">
        <v>66</v>
      </c>
      <c r="B5" s="4">
        <v>0.25</v>
      </c>
    </row>
    <row r="6" spans="1:2">
      <c r="A6" s="4" t="s">
        <v>70</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546875" defaultRowHeight="14.4"/>
  <cols>
    <col min="1" max="16384" width="11.5546875" style="4"/>
  </cols>
  <sheetData>
    <row r="1" spans="1:2">
      <c r="A1" s="4" t="s">
        <v>71</v>
      </c>
      <c r="B1" s="4">
        <v>0.8</v>
      </c>
    </row>
    <row r="2" spans="1:2">
      <c r="A2" s="4" t="s">
        <v>72</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O10" sqref="O10"/>
    </sheetView>
  </sheetViews>
  <sheetFormatPr defaultRowHeight="14.4"/>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Inputs'!F82&gt;0,'Scenario Inputs'!F82,0.5)</f>
        <v>0.5</v>
      </c>
      <c r="O2">
        <f>IF('Scenario Inputs'!G82&gt;0,'Scenario Inputs'!G82,0.5)</f>
        <v>0.5</v>
      </c>
      <c r="P2">
        <f>IF('Scenario Inputs'!H82&gt;0,'Scenario Inputs'!H82,0.5)</f>
        <v>0.5</v>
      </c>
      <c r="Q2">
        <f>IF('Scenario Inputs'!I82&gt;0,'Scenario Inputs'!I82,0.5)</f>
        <v>0.5</v>
      </c>
      <c r="R2">
        <f>IF('Scenario Inputs'!J82&gt;0,'Scenario Inputs'!J82,0.5)</f>
        <v>0.5</v>
      </c>
      <c r="S2">
        <f>IF('Scenario Inputs'!K82&gt;0,'Scenario Inputs'!K82,0.5)</f>
        <v>0.5</v>
      </c>
      <c r="T2">
        <f>IF('Scenario Inputs'!L82&gt;0,'Scenario Inputs'!L82,0.5)</f>
        <v>0.5</v>
      </c>
      <c r="U2">
        <f>IF('Scenario Inputs'!M82&gt;0,'Scenario Inputs'!M82,0.5)</f>
        <v>0.5</v>
      </c>
      <c r="V2">
        <f>IF('Scenario Inputs'!N82&gt;0,'Scenario Inputs'!N82,0.5)</f>
        <v>0.5</v>
      </c>
      <c r="W2">
        <f>IF('Scenario Inputs'!O82&gt;0,'Scenario Inputs'!O82,0.5)</f>
        <v>0.5</v>
      </c>
      <c r="X2">
        <f>IF('Scenario Inputs'!P82&gt;0,'Scenario Inputs'!P82,0.5)</f>
        <v>0.5</v>
      </c>
      <c r="Y2">
        <f>IF('Scenario Inputs'!Q82&gt;0,'Scenario Inputs'!Q82,0.5)</f>
        <v>0.5</v>
      </c>
      <c r="Z2">
        <f>IF('Scenario Inputs'!R82&gt;0,'Scenario Inputs'!R82,0.5)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546875" defaultRowHeight="14.4"/>
  <cols>
    <col min="1" max="16384" width="11.5546875" style="4"/>
  </cols>
  <sheetData>
    <row r="1" spans="1:3">
      <c r="A1" s="4" t="s">
        <v>65</v>
      </c>
      <c r="B1" s="4">
        <v>1</v>
      </c>
      <c r="C1" s="4">
        <v>0.1</v>
      </c>
    </row>
    <row r="2" spans="1:3">
      <c r="A2" s="4" t="s">
        <v>67</v>
      </c>
      <c r="B2" s="4">
        <v>2</v>
      </c>
      <c r="C2" s="4">
        <v>0.1</v>
      </c>
    </row>
    <row r="3" spans="1:3">
      <c r="A3" s="4" t="s">
        <v>68</v>
      </c>
      <c r="B3" s="4">
        <v>3</v>
      </c>
      <c r="C3" s="4">
        <v>0.1</v>
      </c>
    </row>
    <row r="4" spans="1:3">
      <c r="A4" s="4" t="s">
        <v>69</v>
      </c>
      <c r="B4" s="4">
        <v>4</v>
      </c>
      <c r="C4" s="4">
        <v>0.1</v>
      </c>
    </row>
    <row r="5" spans="1:3">
      <c r="A5" s="4" t="s">
        <v>66</v>
      </c>
      <c r="B5" s="4">
        <v>5</v>
      </c>
      <c r="C5" s="4">
        <v>0.25</v>
      </c>
    </row>
    <row r="6" spans="1:3">
      <c r="A6" s="4" t="s">
        <v>70</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546875" defaultRowHeight="14.4"/>
  <cols>
    <col min="1" max="16384" width="11.5546875" style="4"/>
  </cols>
  <sheetData>
    <row r="1" spans="1:3">
      <c r="A1" s="4">
        <v>1</v>
      </c>
      <c r="B1" s="4">
        <v>0.7</v>
      </c>
      <c r="C1" s="154" t="s">
        <v>164</v>
      </c>
    </row>
    <row r="2" spans="1:3">
      <c r="A2" s="4">
        <v>2</v>
      </c>
      <c r="B2" s="4">
        <v>0.6</v>
      </c>
      <c r="C2" s="154"/>
    </row>
    <row r="3" spans="1:3">
      <c r="A3" s="4">
        <v>3</v>
      </c>
      <c r="B3" s="4">
        <v>0.5</v>
      </c>
      <c r="C3" s="154"/>
    </row>
    <row r="4" spans="1:3">
      <c r="A4" s="4">
        <v>4</v>
      </c>
      <c r="B4" s="4">
        <v>0.4</v>
      </c>
      <c r="C4" s="154"/>
    </row>
    <row r="5" spans="1:3">
      <c r="A5" s="4">
        <v>5</v>
      </c>
      <c r="B5" s="4">
        <v>0.2</v>
      </c>
      <c r="C5" s="154"/>
    </row>
    <row r="6" spans="1:3">
      <c r="A6" s="4">
        <v>6</v>
      </c>
      <c r="B6" s="4">
        <v>0.05</v>
      </c>
      <c r="C6" s="154"/>
    </row>
    <row r="9" spans="1:3">
      <c r="A9" s="4">
        <v>1</v>
      </c>
      <c r="B9" s="4">
        <v>0.7</v>
      </c>
      <c r="C9" s="154" t="s">
        <v>163</v>
      </c>
    </row>
    <row r="10" spans="1:3">
      <c r="A10" s="4">
        <v>2</v>
      </c>
      <c r="B10" s="4">
        <v>0.6</v>
      </c>
      <c r="C10" s="154"/>
    </row>
    <row r="11" spans="1:3">
      <c r="A11" s="4">
        <v>3</v>
      </c>
      <c r="B11" s="4">
        <v>0.5</v>
      </c>
      <c r="C11" s="154"/>
    </row>
    <row r="12" spans="1:3">
      <c r="A12" s="4">
        <v>4</v>
      </c>
      <c r="B12" s="4">
        <v>0.4</v>
      </c>
      <c r="C12" s="154"/>
    </row>
    <row r="13" spans="1:3">
      <c r="A13" s="4">
        <v>5</v>
      </c>
      <c r="B13" s="4">
        <v>0.2</v>
      </c>
      <c r="C13" s="154"/>
    </row>
    <row r="14" spans="1:3">
      <c r="A14" s="4">
        <v>6</v>
      </c>
      <c r="B14" s="4">
        <v>0.05</v>
      </c>
      <c r="C14" s="154"/>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546875" defaultRowHeight="14.4"/>
  <cols>
    <col min="1" max="16384" width="11.5546875" style="4"/>
  </cols>
  <sheetData>
    <row r="1" spans="1:3">
      <c r="A1" s="4" t="s">
        <v>71</v>
      </c>
      <c r="B1" s="4" t="s">
        <v>65</v>
      </c>
      <c r="C1" s="4">
        <v>0.1</v>
      </c>
    </row>
    <row r="2" spans="1:3">
      <c r="A2" s="4" t="s">
        <v>71</v>
      </c>
      <c r="B2" s="4" t="s">
        <v>67</v>
      </c>
      <c r="C2" s="4">
        <v>0.1</v>
      </c>
    </row>
    <row r="3" spans="1:3">
      <c r="A3" s="4" t="s">
        <v>71</v>
      </c>
      <c r="B3" s="4" t="s">
        <v>68</v>
      </c>
      <c r="C3" s="4">
        <v>0.1</v>
      </c>
    </row>
    <row r="4" spans="1:3">
      <c r="A4" s="4" t="s">
        <v>71</v>
      </c>
      <c r="B4" s="4" t="s">
        <v>69</v>
      </c>
      <c r="C4" s="4">
        <v>0.1</v>
      </c>
    </row>
    <row r="5" spans="1:3">
      <c r="A5" s="4" t="s">
        <v>71</v>
      </c>
      <c r="B5" s="4" t="s">
        <v>66</v>
      </c>
      <c r="C5" s="4">
        <v>0.1</v>
      </c>
    </row>
    <row r="6" spans="1:3">
      <c r="A6" s="4" t="s">
        <v>71</v>
      </c>
      <c r="B6" s="4" t="s">
        <v>70</v>
      </c>
      <c r="C6" s="4">
        <v>0.1</v>
      </c>
    </row>
    <row r="7" spans="1:3">
      <c r="A7" s="4" t="s">
        <v>72</v>
      </c>
      <c r="B7" s="4" t="s">
        <v>65</v>
      </c>
      <c r="C7" s="4">
        <v>0</v>
      </c>
    </row>
    <row r="8" spans="1:3">
      <c r="A8" s="4" t="s">
        <v>72</v>
      </c>
      <c r="B8" s="4" t="s">
        <v>67</v>
      </c>
      <c r="C8" s="4">
        <v>0</v>
      </c>
    </row>
    <row r="9" spans="1:3">
      <c r="A9" s="4" t="s">
        <v>72</v>
      </c>
      <c r="B9" s="4" t="s">
        <v>68</v>
      </c>
      <c r="C9" s="4">
        <v>0</v>
      </c>
    </row>
    <row r="10" spans="1:3">
      <c r="A10" s="4" t="s">
        <v>72</v>
      </c>
      <c r="B10" s="4" t="s">
        <v>69</v>
      </c>
      <c r="C10" s="4">
        <v>0</v>
      </c>
    </row>
    <row r="11" spans="1:3">
      <c r="A11" s="4" t="s">
        <v>72</v>
      </c>
      <c r="B11" s="4" t="s">
        <v>66</v>
      </c>
      <c r="C11" s="4">
        <v>0</v>
      </c>
    </row>
    <row r="12" spans="1:3">
      <c r="A12" s="4" t="s">
        <v>72</v>
      </c>
      <c r="B12" s="4" t="s">
        <v>70</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546875" defaultRowHeight="14.4"/>
  <cols>
    <col min="1" max="16384" width="11.5546875" style="4"/>
  </cols>
  <sheetData>
    <row r="1" spans="1:3">
      <c r="A1" s="4" t="s">
        <v>71</v>
      </c>
      <c r="B1" s="4" t="s">
        <v>65</v>
      </c>
      <c r="C1" s="4">
        <v>0.3</v>
      </c>
    </row>
    <row r="2" spans="1:3">
      <c r="A2" s="4" t="s">
        <v>71</v>
      </c>
      <c r="B2" s="4" t="s">
        <v>67</v>
      </c>
      <c r="C2" s="4">
        <v>0.3</v>
      </c>
    </row>
    <row r="3" spans="1:3">
      <c r="A3" s="4" t="s">
        <v>71</v>
      </c>
      <c r="B3" s="4" t="s">
        <v>68</v>
      </c>
      <c r="C3" s="4">
        <v>0.3</v>
      </c>
    </row>
    <row r="4" spans="1:3">
      <c r="A4" s="4" t="s">
        <v>71</v>
      </c>
      <c r="B4" s="4" t="s">
        <v>69</v>
      </c>
      <c r="C4" s="4">
        <v>0.3</v>
      </c>
    </row>
    <row r="5" spans="1:3">
      <c r="A5" s="4" t="s">
        <v>71</v>
      </c>
      <c r="B5" s="4" t="s">
        <v>66</v>
      </c>
      <c r="C5" s="4">
        <v>0.3</v>
      </c>
    </row>
    <row r="6" spans="1:3">
      <c r="A6" s="4" t="s">
        <v>71</v>
      </c>
      <c r="B6" s="4" t="s">
        <v>70</v>
      </c>
      <c r="C6" s="4">
        <v>0.3</v>
      </c>
    </row>
    <row r="7" spans="1:3">
      <c r="A7" s="4" t="s">
        <v>72</v>
      </c>
      <c r="B7" s="4" t="s">
        <v>65</v>
      </c>
      <c r="C7" s="4">
        <v>0</v>
      </c>
    </row>
    <row r="8" spans="1:3">
      <c r="A8" s="4" t="s">
        <v>72</v>
      </c>
      <c r="B8" s="4" t="s">
        <v>67</v>
      </c>
      <c r="C8" s="4">
        <v>0</v>
      </c>
    </row>
    <row r="9" spans="1:3">
      <c r="A9" s="4" t="s">
        <v>72</v>
      </c>
      <c r="B9" s="4" t="s">
        <v>68</v>
      </c>
      <c r="C9" s="4">
        <v>0</v>
      </c>
    </row>
    <row r="10" spans="1:3">
      <c r="A10" s="4" t="s">
        <v>72</v>
      </c>
      <c r="B10" s="4" t="s">
        <v>69</v>
      </c>
      <c r="C10" s="4">
        <v>0</v>
      </c>
    </row>
    <row r="11" spans="1:3">
      <c r="A11" s="4" t="s">
        <v>72</v>
      </c>
      <c r="B11" s="4" t="s">
        <v>66</v>
      </c>
      <c r="C11" s="4">
        <v>0</v>
      </c>
    </row>
    <row r="12" spans="1:3">
      <c r="A12" s="4" t="s">
        <v>72</v>
      </c>
      <c r="B12" s="4" t="s">
        <v>70</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546875" defaultRowHeight="14.4"/>
  <cols>
    <col min="1" max="16384" width="11.5546875" style="4"/>
  </cols>
  <sheetData>
    <row r="1" spans="1:5">
      <c r="A1" s="4" t="s">
        <v>105</v>
      </c>
      <c r="B1" s="4">
        <v>1</v>
      </c>
      <c r="C1" s="4">
        <v>0.69</v>
      </c>
      <c r="D1" s="4">
        <v>0.02</v>
      </c>
      <c r="E1" s="4">
        <v>0.28999999999999998</v>
      </c>
    </row>
    <row r="2" spans="1:5">
      <c r="A2" s="4" t="s">
        <v>105</v>
      </c>
      <c r="B2" s="4">
        <v>2</v>
      </c>
      <c r="C2" s="4">
        <v>0.69</v>
      </c>
      <c r="D2" s="4">
        <v>0.02</v>
      </c>
      <c r="E2" s="4">
        <v>0.28999999999999998</v>
      </c>
    </row>
    <row r="3" spans="1:5">
      <c r="A3" s="4" t="s">
        <v>105</v>
      </c>
      <c r="B3" s="4">
        <v>3</v>
      </c>
      <c r="C3" s="4">
        <v>0.69</v>
      </c>
      <c r="D3" s="4">
        <v>0.02</v>
      </c>
      <c r="E3" s="4">
        <v>0.28999999999999998</v>
      </c>
    </row>
    <row r="4" spans="1:5">
      <c r="A4" s="4" t="s">
        <v>105</v>
      </c>
      <c r="B4" s="4">
        <v>4</v>
      </c>
      <c r="C4" s="4">
        <v>0.69</v>
      </c>
      <c r="D4" s="4">
        <v>0.02</v>
      </c>
      <c r="E4" s="4">
        <v>0.28999999999999998</v>
      </c>
    </row>
    <row r="5" spans="1:5">
      <c r="A5" s="4" t="s">
        <v>105</v>
      </c>
      <c r="B5" s="4">
        <v>5</v>
      </c>
      <c r="C5" s="4">
        <v>0.69</v>
      </c>
      <c r="D5" s="4">
        <v>0.02</v>
      </c>
      <c r="E5" s="4">
        <v>0.28999999999999998</v>
      </c>
    </row>
    <row r="6" spans="1:5">
      <c r="A6" s="4" t="s">
        <v>105</v>
      </c>
      <c r="B6" s="4">
        <v>6</v>
      </c>
      <c r="C6" s="4">
        <v>0.69</v>
      </c>
      <c r="D6" s="4">
        <v>0.02</v>
      </c>
      <c r="E6" s="4">
        <v>0.28999999999999998</v>
      </c>
    </row>
    <row r="7" spans="1:5">
      <c r="A7" s="4" t="s">
        <v>106</v>
      </c>
      <c r="B7" s="4">
        <v>1</v>
      </c>
      <c r="C7" s="4">
        <v>0</v>
      </c>
      <c r="D7" s="4">
        <v>0.2</v>
      </c>
      <c r="E7" s="4">
        <v>0.8</v>
      </c>
    </row>
    <row r="8" spans="1:5">
      <c r="A8" s="4" t="s">
        <v>106</v>
      </c>
      <c r="B8" s="4">
        <v>1</v>
      </c>
      <c r="C8" s="4">
        <v>0</v>
      </c>
      <c r="D8" s="4">
        <v>0.2</v>
      </c>
      <c r="E8" s="4">
        <v>0.8</v>
      </c>
    </row>
    <row r="9" spans="1:5">
      <c r="A9" s="4" t="s">
        <v>106</v>
      </c>
      <c r="B9" s="4">
        <v>1</v>
      </c>
      <c r="C9" s="4">
        <v>0</v>
      </c>
      <c r="D9" s="4">
        <v>0.2</v>
      </c>
      <c r="E9" s="4">
        <v>0.8</v>
      </c>
    </row>
    <row r="10" spans="1:5">
      <c r="A10" s="4" t="s">
        <v>106</v>
      </c>
      <c r="B10" s="4">
        <v>1</v>
      </c>
      <c r="C10" s="4">
        <v>0</v>
      </c>
      <c r="D10" s="4">
        <v>0.2</v>
      </c>
      <c r="E10" s="4">
        <v>0.8</v>
      </c>
    </row>
    <row r="11" spans="1:5">
      <c r="A11" s="4" t="s">
        <v>106</v>
      </c>
      <c r="B11" s="4">
        <v>2</v>
      </c>
      <c r="C11" s="4">
        <v>0</v>
      </c>
      <c r="D11" s="4">
        <v>0.2</v>
      </c>
      <c r="E11" s="4">
        <v>0.8</v>
      </c>
    </row>
    <row r="12" spans="1:5">
      <c r="A12" s="4" t="s">
        <v>106</v>
      </c>
      <c r="B12" s="4">
        <v>2</v>
      </c>
      <c r="C12" s="4">
        <v>0</v>
      </c>
      <c r="D12" s="4">
        <v>0.2</v>
      </c>
      <c r="E12" s="4">
        <v>0.8</v>
      </c>
    </row>
    <row r="13" spans="1:5">
      <c r="A13" s="4" t="s">
        <v>107</v>
      </c>
      <c r="B13" s="4">
        <v>2</v>
      </c>
      <c r="C13" s="4">
        <v>0.9</v>
      </c>
      <c r="D13" s="4">
        <v>0</v>
      </c>
      <c r="E13" s="4">
        <v>0.1</v>
      </c>
    </row>
    <row r="14" spans="1:5">
      <c r="A14" s="4" t="s">
        <v>107</v>
      </c>
      <c r="B14" s="4">
        <v>2</v>
      </c>
      <c r="C14" s="4">
        <v>0.9</v>
      </c>
      <c r="D14" s="4">
        <v>0</v>
      </c>
      <c r="E14" s="4">
        <v>0.1</v>
      </c>
    </row>
    <row r="15" spans="1:5">
      <c r="A15" s="4" t="s">
        <v>107</v>
      </c>
      <c r="B15" s="4">
        <v>3</v>
      </c>
      <c r="C15" s="4">
        <v>0.9</v>
      </c>
      <c r="D15" s="4">
        <v>0</v>
      </c>
      <c r="E15" s="4">
        <v>0.1</v>
      </c>
    </row>
    <row r="16" spans="1:5">
      <c r="A16" s="4" t="s">
        <v>107</v>
      </c>
      <c r="B16" s="4">
        <v>3</v>
      </c>
      <c r="C16" s="4">
        <v>0.9</v>
      </c>
      <c r="D16" s="4">
        <v>0</v>
      </c>
      <c r="E16" s="4">
        <v>0.1</v>
      </c>
    </row>
    <row r="17" spans="1:5">
      <c r="A17" s="4" t="s">
        <v>107</v>
      </c>
      <c r="B17" s="4">
        <v>3</v>
      </c>
      <c r="C17" s="4">
        <v>0.9</v>
      </c>
      <c r="D17" s="4">
        <v>0</v>
      </c>
      <c r="E17" s="4">
        <v>0.1</v>
      </c>
    </row>
    <row r="18" spans="1:5">
      <c r="A18" s="4" t="s">
        <v>107</v>
      </c>
      <c r="B18" s="4">
        <v>3</v>
      </c>
      <c r="C18" s="4">
        <v>0.9</v>
      </c>
      <c r="D18" s="4">
        <v>0</v>
      </c>
      <c r="E18" s="4">
        <v>0.1</v>
      </c>
    </row>
    <row r="19" spans="1:5">
      <c r="A19" s="4" t="s">
        <v>108</v>
      </c>
      <c r="B19" s="4">
        <v>4</v>
      </c>
      <c r="C19" s="4">
        <v>0.98</v>
      </c>
      <c r="D19" s="4">
        <v>0.02</v>
      </c>
      <c r="E19" s="4">
        <v>0</v>
      </c>
    </row>
    <row r="20" spans="1:5">
      <c r="A20" s="4" t="s">
        <v>108</v>
      </c>
      <c r="B20" s="4">
        <v>4</v>
      </c>
      <c r="C20" s="4">
        <v>0.98</v>
      </c>
      <c r="D20" s="4">
        <v>0.02</v>
      </c>
      <c r="E20" s="4">
        <v>0</v>
      </c>
    </row>
    <row r="21" spans="1:5">
      <c r="A21" s="4" t="s">
        <v>108</v>
      </c>
      <c r="B21" s="4">
        <v>4</v>
      </c>
      <c r="C21" s="4">
        <v>0.98</v>
      </c>
      <c r="D21" s="4">
        <v>0.02</v>
      </c>
      <c r="E21" s="4">
        <v>0</v>
      </c>
    </row>
    <row r="22" spans="1:5">
      <c r="A22" s="4" t="s">
        <v>108</v>
      </c>
      <c r="B22" s="4">
        <v>4</v>
      </c>
      <c r="C22" s="4">
        <v>0.98</v>
      </c>
      <c r="D22" s="4">
        <v>0.02</v>
      </c>
      <c r="E22" s="4">
        <v>0</v>
      </c>
    </row>
    <row r="23" spans="1:5">
      <c r="A23" s="4" t="s">
        <v>108</v>
      </c>
      <c r="B23" s="4">
        <v>5</v>
      </c>
      <c r="C23" s="4">
        <v>0.98</v>
      </c>
      <c r="D23" s="4">
        <v>0.02</v>
      </c>
      <c r="E23" s="4">
        <v>0</v>
      </c>
    </row>
    <row r="24" spans="1:5">
      <c r="A24" s="4" t="s">
        <v>108</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546875" defaultRowHeight="14.4"/>
  <cols>
    <col min="1" max="16384" width="11.554687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4.4"/>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Props1.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3.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MORGAN, Lucy (NHS MIDLANDS AND LANCASHIRE COMMISSIONIN</cp:lastModifiedBy>
  <cp:revision/>
  <dcterms:created xsi:type="dcterms:W3CDTF">2025-02-28T11:20:11Z</dcterms:created>
  <dcterms:modified xsi:type="dcterms:W3CDTF">2026-01-20T13:52:30Z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