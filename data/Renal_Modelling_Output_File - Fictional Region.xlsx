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y.Morgan\Desktop\Renal Modelling\simPy model\renal-capacity-model\data\"/>
    </mc:Choice>
  </mc:AlternateContent>
  <xr:revisionPtr revIDLastSave="0" documentId="13_ncr:1_{29078E67-0E81-40DE-A094-36ECF9936C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ment Summary" sheetId="1" r:id="rId1"/>
    <sheet name="Summary Stats" sheetId="3" state="hidden" r:id="rId2"/>
    <sheet name="Summary_Cost" sheetId="33" state="hidden" r:id="rId3"/>
    <sheet name="incidence_cadaver" sheetId="4" state="hidden" r:id="rId4"/>
    <sheet name="incidence_conservative_care" sheetId="5" state="hidden" r:id="rId5"/>
    <sheet name="incidence_hhd" sheetId="6" state="hidden" r:id="rId6"/>
    <sheet name="incidence_ichd" sheetId="7" state="hidden" r:id="rId7"/>
    <sheet name="incidence_live" sheetId="8" state="hidden" r:id="rId8"/>
    <sheet name="incidence_pd" sheetId="9" state="hidden" r:id="rId9"/>
    <sheet name="mortality_total" sheetId="26" state="hidden" r:id="rId10"/>
    <sheet name="mortality_cadaver" sheetId="11" state="hidden" r:id="rId11"/>
    <sheet name="mortality_conservative_care" sheetId="12" state="hidden" r:id="rId12"/>
    <sheet name="mortality_hhd" sheetId="13" state="hidden" r:id="rId13"/>
    <sheet name="mortality_ichd" sheetId="14" state="hidden" r:id="rId14"/>
    <sheet name="mortality_live" sheetId="15" state="hidden" r:id="rId15"/>
    <sheet name="mortality_pd" sheetId="16" state="hidden" r:id="rId16"/>
    <sheet name="prevalence_total" sheetId="27" state="hidden" r:id="rId17"/>
    <sheet name="prevalence_cadaver" sheetId="17" state="hidden" r:id="rId18"/>
    <sheet name="prevalence_conservative_care" sheetId="18" state="hidden" r:id="rId19"/>
    <sheet name="prevalence_hhd" sheetId="19" state="hidden" r:id="rId20"/>
    <sheet name="prevalence_ichd" sheetId="20" state="hidden" r:id="rId21"/>
    <sheet name="prevalence_live" sheetId="21" state="hidden" r:id="rId22"/>
    <sheet name="prevalence_pd" sheetId="22" state="hidden" r:id="rId23"/>
    <sheet name="ichd_yearly" sheetId="28" state="hidden" r:id="rId24"/>
    <sheet name="hhd_yearly" sheetId="29" state="hidden" r:id="rId25"/>
    <sheet name="pd_yearly" sheetId="30" state="hidden" r:id="rId26"/>
    <sheet name="transplant_yearly" sheetId="31" state="hidden" r:id="rId27"/>
    <sheet name="incidence_wft" sheetId="24" state="hidden" r:id="rId28"/>
    <sheet name="prevalence_wft" sheetId="25" state="hidden" r:id="rId29"/>
  </sheets>
  <definedNames>
    <definedName name="IncCCD1">#REF!</definedName>
    <definedName name="IncCCD2">#REF!</definedName>
    <definedName name="IncCCD3">#REF!</definedName>
    <definedName name="IncCCD4">#REF!</definedName>
    <definedName name="IncCCD5">#REF!</definedName>
    <definedName name="IncCCD6">#REF!</definedName>
    <definedName name="IncHHD">#REF!</definedName>
    <definedName name="IncLP">#REF!</definedName>
    <definedName name="IncPD">#REF!</definedName>
    <definedName name="IncPEcad">#REF!</definedName>
    <definedName name="IncPEliv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3" l="1"/>
  <c r="V18" i="3"/>
  <c r="W18" i="3"/>
  <c r="X18" i="3"/>
  <c r="Y18" i="3"/>
  <c r="Z18" i="3"/>
  <c r="AA18" i="3"/>
  <c r="AB18" i="3"/>
  <c r="AC18" i="3"/>
  <c r="AD18" i="3"/>
  <c r="AE18" i="3"/>
  <c r="AF18" i="3"/>
  <c r="AG18" i="3"/>
  <c r="T18" i="3"/>
  <c r="T10" i="3"/>
  <c r="B3" i="27"/>
  <c r="C3" i="27"/>
  <c r="D3" i="27"/>
  <c r="E3" i="27"/>
  <c r="F3" i="27"/>
  <c r="G3" i="27"/>
  <c r="H3" i="27"/>
  <c r="I3" i="27"/>
  <c r="J3" i="27"/>
  <c r="K3" i="27"/>
  <c r="AC10" i="3" s="1"/>
  <c r="L3" i="27"/>
  <c r="AD10" i="3" s="1"/>
  <c r="M3" i="27"/>
  <c r="N3" i="27"/>
  <c r="O3" i="27"/>
  <c r="AG10" i="3" s="1"/>
  <c r="P3" i="27"/>
  <c r="Q3" i="27"/>
  <c r="R3" i="27"/>
  <c r="S3" i="27"/>
  <c r="T3" i="27"/>
  <c r="U3" i="27"/>
  <c r="V3" i="27"/>
  <c r="W3" i="27"/>
  <c r="X3" i="27"/>
  <c r="Y3" i="27"/>
  <c r="Z3" i="27"/>
  <c r="AA3" i="27"/>
  <c r="AB3" i="27"/>
  <c r="AC3" i="27"/>
  <c r="B4" i="27"/>
  <c r="C4" i="27"/>
  <c r="D4" i="27"/>
  <c r="E4" i="27"/>
  <c r="F4" i="27"/>
  <c r="G4" i="27"/>
  <c r="H4" i="27"/>
  <c r="I4" i="27"/>
  <c r="AA10" i="3" s="1"/>
  <c r="J4" i="27"/>
  <c r="K4" i="27"/>
  <c r="L4" i="27"/>
  <c r="M4" i="27"/>
  <c r="AE10" i="3" s="1"/>
  <c r="N4" i="27"/>
  <c r="AF10" i="3" s="1"/>
  <c r="O4" i="27"/>
  <c r="P4" i="27"/>
  <c r="Q4" i="27"/>
  <c r="R4" i="27"/>
  <c r="S4" i="27"/>
  <c r="T4" i="27"/>
  <c r="U4" i="27"/>
  <c r="V4" i="27"/>
  <c r="W4" i="27"/>
  <c r="X4" i="27"/>
  <c r="Y4" i="27"/>
  <c r="Z4" i="27"/>
  <c r="AA4" i="27"/>
  <c r="AB4" i="27"/>
  <c r="AC4" i="27"/>
  <c r="B5" i="27"/>
  <c r="C5" i="27"/>
  <c r="U10" i="3" s="1"/>
  <c r="D5" i="27"/>
  <c r="E5" i="27"/>
  <c r="F5" i="27"/>
  <c r="G5" i="27"/>
  <c r="Y10" i="3" s="1"/>
  <c r="H5" i="27"/>
  <c r="I5" i="27"/>
  <c r="J5" i="27"/>
  <c r="K5" i="27"/>
  <c r="L5" i="27"/>
  <c r="M5" i="27"/>
  <c r="N5" i="27"/>
  <c r="O5" i="27"/>
  <c r="P5" i="27"/>
  <c r="Q5" i="27"/>
  <c r="R5" i="27"/>
  <c r="S5" i="27"/>
  <c r="T5" i="27"/>
  <c r="U5" i="27"/>
  <c r="V5" i="27"/>
  <c r="W5" i="27"/>
  <c r="X5" i="27"/>
  <c r="Y5" i="27"/>
  <c r="Z5" i="27"/>
  <c r="AA5" i="27"/>
  <c r="AB5" i="27"/>
  <c r="AC5" i="27"/>
  <c r="B6" i="27"/>
  <c r="C6" i="27"/>
  <c r="D6" i="27"/>
  <c r="V10" i="3" s="1"/>
  <c r="E6" i="27"/>
  <c r="F6" i="27"/>
  <c r="G6" i="27"/>
  <c r="H6" i="27"/>
  <c r="I6" i="27"/>
  <c r="J6" i="27"/>
  <c r="K6" i="27"/>
  <c r="L6" i="27"/>
  <c r="M6" i="27"/>
  <c r="N6" i="27"/>
  <c r="O6" i="27"/>
  <c r="P6" i="27"/>
  <c r="Q6" i="27"/>
  <c r="R6" i="27"/>
  <c r="S6" i="27"/>
  <c r="T6" i="27"/>
  <c r="U6" i="27"/>
  <c r="V6" i="27"/>
  <c r="W6" i="27"/>
  <c r="X6" i="27"/>
  <c r="Y6" i="27"/>
  <c r="Z6" i="27"/>
  <c r="AA6" i="27"/>
  <c r="AB6" i="27"/>
  <c r="AC6" i="27"/>
  <c r="B7" i="27"/>
  <c r="C7" i="27"/>
  <c r="D7" i="27"/>
  <c r="E7" i="27"/>
  <c r="F7" i="27"/>
  <c r="G7" i="27"/>
  <c r="H7" i="27"/>
  <c r="I7" i="27"/>
  <c r="J7" i="27"/>
  <c r="K7" i="27"/>
  <c r="L7" i="27"/>
  <c r="M7" i="27"/>
  <c r="N7" i="27"/>
  <c r="O7" i="27"/>
  <c r="P7" i="27"/>
  <c r="Q7" i="27"/>
  <c r="R7" i="27"/>
  <c r="S7" i="27"/>
  <c r="T7" i="27"/>
  <c r="U7" i="27"/>
  <c r="V7" i="27"/>
  <c r="W7" i="27"/>
  <c r="X7" i="27"/>
  <c r="Y7" i="27"/>
  <c r="Z7" i="27"/>
  <c r="AA7" i="27"/>
  <c r="AB7" i="27"/>
  <c r="AC7" i="27"/>
  <c r="B8" i="27"/>
  <c r="C8" i="27"/>
  <c r="D8" i="27"/>
  <c r="E8" i="27"/>
  <c r="F8" i="27"/>
  <c r="G8" i="27"/>
  <c r="H8" i="27"/>
  <c r="I8" i="27"/>
  <c r="J8" i="27"/>
  <c r="K8" i="27"/>
  <c r="L8" i="27"/>
  <c r="M8" i="27"/>
  <c r="N8" i="27"/>
  <c r="O8" i="27"/>
  <c r="P8" i="27"/>
  <c r="Q8" i="27"/>
  <c r="R8" i="27"/>
  <c r="S8" i="27"/>
  <c r="T8" i="27"/>
  <c r="U8" i="27"/>
  <c r="V8" i="27"/>
  <c r="W8" i="27"/>
  <c r="X8" i="27"/>
  <c r="Y8" i="27"/>
  <c r="Z8" i="27"/>
  <c r="AA8" i="27"/>
  <c r="AB8" i="27"/>
  <c r="AC8" i="27"/>
  <c r="B9" i="27"/>
  <c r="C9" i="27"/>
  <c r="D9" i="27"/>
  <c r="E9" i="27"/>
  <c r="F9" i="27"/>
  <c r="G9" i="27"/>
  <c r="H9" i="27"/>
  <c r="I9" i="27"/>
  <c r="J9" i="27"/>
  <c r="K9" i="27"/>
  <c r="L9" i="27"/>
  <c r="M9" i="27"/>
  <c r="N9" i="27"/>
  <c r="O9" i="27"/>
  <c r="P9" i="27"/>
  <c r="Q9" i="27"/>
  <c r="R9" i="27"/>
  <c r="S9" i="27"/>
  <c r="T9" i="27"/>
  <c r="U9" i="27"/>
  <c r="V9" i="27"/>
  <c r="W9" i="27"/>
  <c r="X9" i="27"/>
  <c r="Y9" i="27"/>
  <c r="Z9" i="27"/>
  <c r="AA9" i="27"/>
  <c r="AB9" i="27"/>
  <c r="AC9" i="27"/>
  <c r="B10" i="27"/>
  <c r="C10" i="27"/>
  <c r="D10" i="27"/>
  <c r="E10" i="27"/>
  <c r="F10" i="27"/>
  <c r="G10" i="27"/>
  <c r="H10" i="27"/>
  <c r="I10" i="27"/>
  <c r="J10" i="27"/>
  <c r="K10" i="27"/>
  <c r="L10" i="27"/>
  <c r="M10" i="27"/>
  <c r="N10" i="27"/>
  <c r="O10" i="27"/>
  <c r="P10" i="27"/>
  <c r="Q10" i="27"/>
  <c r="R10" i="27"/>
  <c r="S10" i="27"/>
  <c r="T10" i="27"/>
  <c r="U10" i="27"/>
  <c r="V10" i="27"/>
  <c r="W10" i="27"/>
  <c r="X10" i="27"/>
  <c r="Y10" i="27"/>
  <c r="Z10" i="27"/>
  <c r="AA10" i="27"/>
  <c r="AB10" i="27"/>
  <c r="AC10" i="27"/>
  <c r="B11" i="27"/>
  <c r="C11" i="27"/>
  <c r="D11" i="27"/>
  <c r="E11" i="27"/>
  <c r="F11" i="27"/>
  <c r="G11" i="27"/>
  <c r="H11" i="27"/>
  <c r="I11" i="27"/>
  <c r="J11" i="27"/>
  <c r="K11" i="27"/>
  <c r="L11" i="27"/>
  <c r="M11" i="27"/>
  <c r="N11" i="27"/>
  <c r="O11" i="27"/>
  <c r="P11" i="27"/>
  <c r="Q11" i="27"/>
  <c r="R11" i="27"/>
  <c r="S11" i="27"/>
  <c r="T11" i="27"/>
  <c r="U11" i="27"/>
  <c r="V11" i="27"/>
  <c r="W11" i="27"/>
  <c r="X11" i="27"/>
  <c r="Y11" i="27"/>
  <c r="Z11" i="27"/>
  <c r="AA11" i="27"/>
  <c r="AB11" i="27"/>
  <c r="AC11" i="27"/>
  <c r="AB10" i="3"/>
  <c r="C2" i="27"/>
  <c r="D2" i="27"/>
  <c r="E2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B2" i="27"/>
  <c r="T11" i="3"/>
  <c r="C2" i="26"/>
  <c r="D2" i="26"/>
  <c r="E2" i="26"/>
  <c r="F2" i="26"/>
  <c r="G2" i="26"/>
  <c r="H2" i="26"/>
  <c r="I2" i="26"/>
  <c r="J2" i="26"/>
  <c r="K2" i="26"/>
  <c r="L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C3" i="26"/>
  <c r="D3" i="26"/>
  <c r="E3" i="26"/>
  <c r="F3" i="26"/>
  <c r="G3" i="26"/>
  <c r="H3" i="26"/>
  <c r="I3" i="26"/>
  <c r="J3" i="26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B3" i="26"/>
  <c r="B4" i="26"/>
  <c r="B5" i="26"/>
  <c r="B6" i="26"/>
  <c r="B7" i="26"/>
  <c r="B8" i="26"/>
  <c r="B9" i="26"/>
  <c r="B10" i="26"/>
  <c r="B11" i="26"/>
  <c r="B2" i="26"/>
  <c r="Z10" i="3" l="1"/>
  <c r="X10" i="3"/>
  <c r="W10" i="3"/>
  <c r="S27" i="3"/>
  <c r="R4" i="33" a="1"/>
  <c r="R4" i="33" s="1"/>
  <c r="AF4" i="33" s="1"/>
  <c r="S4" i="33" a="1"/>
  <c r="S4" i="33" s="1"/>
  <c r="AG4" i="33" s="1"/>
  <c r="T4" i="33" a="1"/>
  <c r="T4" i="33" s="1"/>
  <c r="AH4" i="33" s="1"/>
  <c r="U4" i="33" a="1"/>
  <c r="U4" i="33" s="1"/>
  <c r="AI4" i="33" s="1"/>
  <c r="V4" i="33" a="1"/>
  <c r="V4" i="33" s="1"/>
  <c r="AJ4" i="33" s="1"/>
  <c r="W4" i="33" a="1"/>
  <c r="W4" i="33" s="1"/>
  <c r="AK4" i="33" s="1"/>
  <c r="X4" i="33" a="1"/>
  <c r="X4" i="33" s="1"/>
  <c r="AL4" i="33" s="1"/>
  <c r="Y4" i="33" a="1"/>
  <c r="Y4" i="33" s="1"/>
  <c r="AM4" i="33" s="1"/>
  <c r="Z4" i="33" a="1"/>
  <c r="Z4" i="33" s="1"/>
  <c r="AN4" i="33" s="1"/>
  <c r="AA4" i="33" a="1"/>
  <c r="AA4" i="33" s="1"/>
  <c r="AO4" i="33" s="1"/>
  <c r="AB4" i="33" a="1"/>
  <c r="AB4" i="33" s="1"/>
  <c r="AP4" i="33" s="1"/>
  <c r="AC4" i="33" a="1"/>
  <c r="AC4" i="33" s="1"/>
  <c r="AQ4" i="33" s="1"/>
  <c r="R5" i="33" a="1"/>
  <c r="R5" i="33" s="1"/>
  <c r="AF5" i="33" s="1"/>
  <c r="S5" i="33" a="1"/>
  <c r="S5" i="33" s="1"/>
  <c r="AG5" i="33" s="1"/>
  <c r="T5" i="33" a="1"/>
  <c r="T5" i="33" s="1"/>
  <c r="AH5" i="33" s="1"/>
  <c r="U5" i="33" a="1"/>
  <c r="U5" i="33" s="1"/>
  <c r="AI5" i="33" s="1"/>
  <c r="V5" i="33" a="1"/>
  <c r="V5" i="33" s="1"/>
  <c r="AJ5" i="33" s="1"/>
  <c r="W5" i="33" a="1"/>
  <c r="W5" i="33" s="1"/>
  <c r="AK5" i="33" s="1"/>
  <c r="X5" i="33" a="1"/>
  <c r="X5" i="33" s="1"/>
  <c r="AL5" i="33" s="1"/>
  <c r="Y5" i="33" a="1"/>
  <c r="Y5" i="33" s="1"/>
  <c r="AM5" i="33" s="1"/>
  <c r="Z5" i="33" a="1"/>
  <c r="Z5" i="33" s="1"/>
  <c r="AN5" i="33" s="1"/>
  <c r="AA5" i="33" a="1"/>
  <c r="AA5" i="33" s="1"/>
  <c r="AO5" i="33" s="1"/>
  <c r="AB5" i="33" a="1"/>
  <c r="AB5" i="33" s="1"/>
  <c r="AP5" i="33" s="1"/>
  <c r="AC5" i="33" a="1"/>
  <c r="AC5" i="33" s="1"/>
  <c r="AQ5" i="33" s="1"/>
  <c r="R6" i="33" a="1"/>
  <c r="R6" i="33" s="1"/>
  <c r="AF6" i="33" s="1"/>
  <c r="S6" i="33" a="1"/>
  <c r="S6" i="33" s="1"/>
  <c r="AG6" i="33" s="1"/>
  <c r="T6" i="33" a="1"/>
  <c r="T6" i="33" s="1"/>
  <c r="AH6" i="33" s="1"/>
  <c r="U6" i="33" a="1"/>
  <c r="U6" i="33" s="1"/>
  <c r="AI6" i="33" s="1"/>
  <c r="V6" i="33" a="1"/>
  <c r="V6" i="33" s="1"/>
  <c r="AJ6" i="33" s="1"/>
  <c r="W6" i="33" a="1"/>
  <c r="W6" i="33" s="1"/>
  <c r="AK6" i="33" s="1"/>
  <c r="X6" i="33" a="1"/>
  <c r="X6" i="33" s="1"/>
  <c r="AL6" i="33" s="1"/>
  <c r="Y6" i="33" a="1"/>
  <c r="Y6" i="33" s="1"/>
  <c r="AM6" i="33" s="1"/>
  <c r="Z6" i="33" a="1"/>
  <c r="Z6" i="33" s="1"/>
  <c r="AN6" i="33" s="1"/>
  <c r="AA6" i="33" a="1"/>
  <c r="AA6" i="33" s="1"/>
  <c r="AO6" i="33" s="1"/>
  <c r="AB6" i="33" a="1"/>
  <c r="AB6" i="33" s="1"/>
  <c r="AP6" i="33" s="1"/>
  <c r="AC6" i="33" a="1"/>
  <c r="AC6" i="33" s="1"/>
  <c r="AQ6" i="33" s="1"/>
  <c r="Q6" i="33" a="1"/>
  <c r="Q6" i="33" s="1"/>
  <c r="AE6" i="33" s="1"/>
  <c r="Q5" i="33" a="1"/>
  <c r="Q5" i="33" s="1"/>
  <c r="AE5" i="33" s="1"/>
  <c r="Q4" i="33" a="1"/>
  <c r="Q4" i="33" s="1"/>
  <c r="AE4" i="33" s="1"/>
  <c r="R3" i="33" a="1"/>
  <c r="R3" i="33" s="1"/>
  <c r="AF3" i="33" s="1"/>
  <c r="S3" i="33" a="1"/>
  <c r="S3" i="33" s="1"/>
  <c r="AG3" i="33" s="1"/>
  <c r="T3" i="33" a="1"/>
  <c r="T3" i="33" s="1"/>
  <c r="AH3" i="33" s="1"/>
  <c r="U3" i="33" a="1"/>
  <c r="U3" i="33" s="1"/>
  <c r="AI3" i="33" s="1"/>
  <c r="V3" i="33" a="1"/>
  <c r="V3" i="33" s="1"/>
  <c r="AJ3" i="33" s="1"/>
  <c r="W3" i="33" a="1"/>
  <c r="W3" i="33" s="1"/>
  <c r="AK3" i="33" s="1"/>
  <c r="X3" i="33" a="1"/>
  <c r="X3" i="33" s="1"/>
  <c r="AL3" i="33" s="1"/>
  <c r="Y3" i="33" a="1"/>
  <c r="Y3" i="33" s="1"/>
  <c r="AM3" i="33" s="1"/>
  <c r="Z3" i="33" a="1"/>
  <c r="Z3" i="33" s="1"/>
  <c r="AN3" i="33" s="1"/>
  <c r="AA3" i="33" a="1"/>
  <c r="AA3" i="33" s="1"/>
  <c r="AO3" i="33" s="1"/>
  <c r="AB3" i="33" a="1"/>
  <c r="AB3" i="33" s="1"/>
  <c r="AP3" i="33" s="1"/>
  <c r="AC3" i="33" a="1"/>
  <c r="AC3" i="33" s="1"/>
  <c r="AQ3" i="33" s="1"/>
  <c r="Q3" i="33" a="1"/>
  <c r="Q3" i="33" s="1"/>
  <c r="AE3" i="33" s="1"/>
  <c r="C4" i="33"/>
  <c r="Q109" i="1" s="1"/>
  <c r="D4" i="33"/>
  <c r="R109" i="1" s="1"/>
  <c r="E4" i="33"/>
  <c r="S109" i="1" s="1"/>
  <c r="F4" i="33"/>
  <c r="T109" i="1" s="1"/>
  <c r="G4" i="33"/>
  <c r="U109" i="1" s="1"/>
  <c r="H4" i="33"/>
  <c r="V109" i="1" s="1"/>
  <c r="I4" i="33"/>
  <c r="W109" i="1" s="1"/>
  <c r="J4" i="33"/>
  <c r="X109" i="1" s="1"/>
  <c r="K4" i="33"/>
  <c r="Y109" i="1" s="1"/>
  <c r="L4" i="33"/>
  <c r="Z109" i="1" s="1"/>
  <c r="M4" i="33"/>
  <c r="AA109" i="1" s="1"/>
  <c r="N4" i="33"/>
  <c r="AB109" i="1" s="1"/>
  <c r="C5" i="33"/>
  <c r="Q110" i="1" s="1"/>
  <c r="D5" i="33"/>
  <c r="R110" i="1" s="1"/>
  <c r="E5" i="33"/>
  <c r="S110" i="1" s="1"/>
  <c r="F5" i="33"/>
  <c r="T110" i="1" s="1"/>
  <c r="G5" i="33"/>
  <c r="U110" i="1" s="1"/>
  <c r="H5" i="33"/>
  <c r="V110" i="1" s="1"/>
  <c r="I5" i="33"/>
  <c r="W110" i="1" s="1"/>
  <c r="J5" i="33"/>
  <c r="X110" i="1" s="1"/>
  <c r="K5" i="33"/>
  <c r="Y110" i="1" s="1"/>
  <c r="L5" i="33"/>
  <c r="Z110" i="1" s="1"/>
  <c r="M5" i="33"/>
  <c r="AA110" i="1" s="1"/>
  <c r="N5" i="33"/>
  <c r="AB110" i="1" s="1"/>
  <c r="C6" i="33"/>
  <c r="Q111" i="1" s="1"/>
  <c r="D6" i="33"/>
  <c r="R111" i="1" s="1"/>
  <c r="E6" i="33"/>
  <c r="S111" i="1" s="1"/>
  <c r="F6" i="33"/>
  <c r="T111" i="1" s="1"/>
  <c r="G6" i="33"/>
  <c r="U111" i="1" s="1"/>
  <c r="H6" i="33"/>
  <c r="V111" i="1" s="1"/>
  <c r="I6" i="33"/>
  <c r="W111" i="1" s="1"/>
  <c r="J6" i="33"/>
  <c r="X111" i="1" s="1"/>
  <c r="K6" i="33"/>
  <c r="Y111" i="1" s="1"/>
  <c r="L6" i="33"/>
  <c r="Z111" i="1" s="1"/>
  <c r="M6" i="33"/>
  <c r="AA111" i="1" s="1"/>
  <c r="N6" i="33"/>
  <c r="AB111" i="1" s="1"/>
  <c r="B6" i="33"/>
  <c r="P111" i="1" s="1"/>
  <c r="B5" i="33"/>
  <c r="P110" i="1" s="1"/>
  <c r="B4" i="33"/>
  <c r="P109" i="1" s="1"/>
  <c r="C3" i="33"/>
  <c r="Q108" i="1" s="1"/>
  <c r="D3" i="33"/>
  <c r="R108" i="1" s="1"/>
  <c r="E3" i="33"/>
  <c r="S108" i="1" s="1"/>
  <c r="F3" i="33"/>
  <c r="T108" i="1" s="1"/>
  <c r="G3" i="33"/>
  <c r="U108" i="1" s="1"/>
  <c r="H3" i="33"/>
  <c r="V108" i="1" s="1"/>
  <c r="I3" i="33"/>
  <c r="W108" i="1" s="1"/>
  <c r="J3" i="33"/>
  <c r="X108" i="1" s="1"/>
  <c r="K3" i="33"/>
  <c r="Y108" i="1" s="1"/>
  <c r="L3" i="33"/>
  <c r="Z108" i="1" s="1"/>
  <c r="M3" i="33"/>
  <c r="AA108" i="1" s="1"/>
  <c r="N3" i="33"/>
  <c r="AB108" i="1" s="1"/>
  <c r="B3" i="33"/>
  <c r="P108" i="1" s="1"/>
  <c r="C5" i="3"/>
  <c r="C29" i="3" s="1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T3" i="3"/>
  <c r="U3" i="3"/>
  <c r="AL3" i="3" s="1"/>
  <c r="V3" i="3"/>
  <c r="AM3" i="3" s="1"/>
  <c r="W3" i="3"/>
  <c r="AN3" i="3" s="1"/>
  <c r="X3" i="3"/>
  <c r="AO3" i="3" s="1"/>
  <c r="Y3" i="3"/>
  <c r="AP3" i="3" s="1"/>
  <c r="Z3" i="3"/>
  <c r="AQ3" i="3" s="1"/>
  <c r="AA3" i="3"/>
  <c r="AR3" i="3" s="1"/>
  <c r="AB3" i="3"/>
  <c r="AS3" i="3" s="1"/>
  <c r="AC3" i="3"/>
  <c r="AT3" i="3" s="1"/>
  <c r="AD3" i="3"/>
  <c r="AU3" i="3" s="1"/>
  <c r="AE3" i="3"/>
  <c r="AV3" i="3" s="1"/>
  <c r="AF3" i="3"/>
  <c r="AW3" i="3" s="1"/>
  <c r="AG3" i="3"/>
  <c r="AX3" i="3" s="1"/>
  <c r="C4" i="3"/>
  <c r="C52" i="3" s="1"/>
  <c r="D4" i="3"/>
  <c r="E4" i="3"/>
  <c r="F4" i="3"/>
  <c r="G4" i="3"/>
  <c r="H4" i="3"/>
  <c r="I4" i="3"/>
  <c r="J4" i="3"/>
  <c r="K4" i="3"/>
  <c r="L4" i="3"/>
  <c r="M4" i="3"/>
  <c r="N4" i="3"/>
  <c r="O4" i="3"/>
  <c r="P4" i="3"/>
  <c r="T4" i="3"/>
  <c r="U4" i="3"/>
  <c r="AL4" i="3" s="1"/>
  <c r="V4" i="3"/>
  <c r="AM4" i="3" s="1"/>
  <c r="W4" i="3"/>
  <c r="AN4" i="3" s="1"/>
  <c r="X4" i="3"/>
  <c r="AO4" i="3" s="1"/>
  <c r="Y4" i="3"/>
  <c r="AP4" i="3" s="1"/>
  <c r="Z4" i="3"/>
  <c r="AQ4" i="3" s="1"/>
  <c r="AA4" i="3"/>
  <c r="AR4" i="3" s="1"/>
  <c r="AB4" i="3"/>
  <c r="AS4" i="3" s="1"/>
  <c r="AC4" i="3"/>
  <c r="AT4" i="3" s="1"/>
  <c r="AD4" i="3"/>
  <c r="AU4" i="3" s="1"/>
  <c r="AE4" i="3"/>
  <c r="AV4" i="3" s="1"/>
  <c r="AF4" i="3"/>
  <c r="AW4" i="3" s="1"/>
  <c r="AG4" i="3"/>
  <c r="AX4" i="3" s="1"/>
  <c r="D5" i="3"/>
  <c r="E5" i="3"/>
  <c r="F5" i="3"/>
  <c r="G5" i="3"/>
  <c r="H5" i="3"/>
  <c r="I5" i="3"/>
  <c r="J5" i="3"/>
  <c r="K5" i="3"/>
  <c r="L5" i="3"/>
  <c r="M5" i="3"/>
  <c r="N5" i="3"/>
  <c r="O5" i="3"/>
  <c r="P5" i="3"/>
  <c r="T5" i="3"/>
  <c r="U5" i="3"/>
  <c r="AL5" i="3" s="1"/>
  <c r="V5" i="3"/>
  <c r="AM5" i="3" s="1"/>
  <c r="W5" i="3"/>
  <c r="AN5" i="3" s="1"/>
  <c r="X5" i="3"/>
  <c r="AO5" i="3" s="1"/>
  <c r="Y5" i="3"/>
  <c r="AP5" i="3" s="1"/>
  <c r="Z5" i="3"/>
  <c r="AQ5" i="3" s="1"/>
  <c r="AA5" i="3"/>
  <c r="AR5" i="3" s="1"/>
  <c r="AB5" i="3"/>
  <c r="AS5" i="3" s="1"/>
  <c r="AC5" i="3"/>
  <c r="AT5" i="3" s="1"/>
  <c r="AD5" i="3"/>
  <c r="AU5" i="3" s="1"/>
  <c r="AE5" i="3"/>
  <c r="AV5" i="3" s="1"/>
  <c r="AF5" i="3"/>
  <c r="AW5" i="3" s="1"/>
  <c r="AG5" i="3"/>
  <c r="AX5" i="3" s="1"/>
  <c r="C6" i="3"/>
  <c r="C54" i="3" s="1"/>
  <c r="D6" i="3"/>
  <c r="E6" i="3"/>
  <c r="F6" i="3"/>
  <c r="G6" i="3"/>
  <c r="H6" i="3"/>
  <c r="I6" i="3"/>
  <c r="J6" i="3"/>
  <c r="K6" i="3"/>
  <c r="L6" i="3"/>
  <c r="M6" i="3"/>
  <c r="N6" i="3"/>
  <c r="O6" i="3"/>
  <c r="P6" i="3"/>
  <c r="T6" i="3"/>
  <c r="U6" i="3"/>
  <c r="AL6" i="3" s="1"/>
  <c r="V6" i="3"/>
  <c r="AM6" i="3" s="1"/>
  <c r="W6" i="3"/>
  <c r="AN6" i="3" s="1"/>
  <c r="X6" i="3"/>
  <c r="AO6" i="3" s="1"/>
  <c r="Y6" i="3"/>
  <c r="AP6" i="3" s="1"/>
  <c r="Z6" i="3"/>
  <c r="AQ6" i="3" s="1"/>
  <c r="AA6" i="3"/>
  <c r="AR6" i="3" s="1"/>
  <c r="AB6" i="3"/>
  <c r="AS6" i="3" s="1"/>
  <c r="AC6" i="3"/>
  <c r="AT6" i="3" s="1"/>
  <c r="AD6" i="3"/>
  <c r="AU6" i="3" s="1"/>
  <c r="AE6" i="3"/>
  <c r="AV6" i="3" s="1"/>
  <c r="AF6" i="3"/>
  <c r="AW6" i="3" s="1"/>
  <c r="AG6" i="3"/>
  <c r="AX6" i="3" s="1"/>
  <c r="C7" i="3"/>
  <c r="C31" i="3" s="1"/>
  <c r="D7" i="3"/>
  <c r="E7" i="3"/>
  <c r="F7" i="3"/>
  <c r="G7" i="3"/>
  <c r="H7" i="3"/>
  <c r="I7" i="3"/>
  <c r="J7" i="3"/>
  <c r="K7" i="3"/>
  <c r="L7" i="3"/>
  <c r="M7" i="3"/>
  <c r="N7" i="3"/>
  <c r="O7" i="3"/>
  <c r="P7" i="3"/>
  <c r="T7" i="3"/>
  <c r="U7" i="3"/>
  <c r="AL7" i="3" s="1"/>
  <c r="V7" i="3"/>
  <c r="AM7" i="3" s="1"/>
  <c r="W7" i="3"/>
  <c r="AN7" i="3" s="1"/>
  <c r="X7" i="3"/>
  <c r="AO7" i="3" s="1"/>
  <c r="Y7" i="3"/>
  <c r="AP7" i="3" s="1"/>
  <c r="Z7" i="3"/>
  <c r="AQ7" i="3" s="1"/>
  <c r="AA7" i="3"/>
  <c r="AR7" i="3" s="1"/>
  <c r="AB7" i="3"/>
  <c r="AS7" i="3" s="1"/>
  <c r="AC7" i="3"/>
  <c r="AT7" i="3" s="1"/>
  <c r="AD7" i="3"/>
  <c r="AU7" i="3" s="1"/>
  <c r="AE7" i="3"/>
  <c r="AV7" i="3" s="1"/>
  <c r="AF7" i="3"/>
  <c r="AW7" i="3" s="1"/>
  <c r="AG7" i="3"/>
  <c r="AX7" i="3" s="1"/>
  <c r="C11" i="3"/>
  <c r="C35" i="3" s="1"/>
  <c r="D11" i="3"/>
  <c r="P61" i="1" s="1"/>
  <c r="E11" i="3"/>
  <c r="Q61" i="1" s="1"/>
  <c r="F11" i="3"/>
  <c r="R61" i="1" s="1"/>
  <c r="G11" i="3"/>
  <c r="S61" i="1" s="1"/>
  <c r="H11" i="3"/>
  <c r="T61" i="1" s="1"/>
  <c r="I11" i="3"/>
  <c r="U61" i="1" s="1"/>
  <c r="J11" i="3"/>
  <c r="V61" i="1" s="1"/>
  <c r="K11" i="3"/>
  <c r="W61" i="1" s="1"/>
  <c r="L11" i="3"/>
  <c r="X61" i="1" s="1"/>
  <c r="M11" i="3"/>
  <c r="Y61" i="1" s="1"/>
  <c r="N11" i="3"/>
  <c r="Z61" i="1" s="1"/>
  <c r="O11" i="3"/>
  <c r="AA61" i="1" s="1"/>
  <c r="P11" i="3"/>
  <c r="AB61" i="1" s="1"/>
  <c r="U11" i="3"/>
  <c r="AL11" i="3" s="1"/>
  <c r="V11" i="3"/>
  <c r="AM11" i="3" s="1"/>
  <c r="W11" i="3"/>
  <c r="AN11" i="3" s="1"/>
  <c r="X11" i="3"/>
  <c r="AO11" i="3" s="1"/>
  <c r="Y11" i="3"/>
  <c r="AP11" i="3" s="1"/>
  <c r="Z11" i="3"/>
  <c r="AQ11" i="3" s="1"/>
  <c r="AA11" i="3"/>
  <c r="AR11" i="3" s="1"/>
  <c r="AB11" i="3"/>
  <c r="AS11" i="3" s="1"/>
  <c r="AC11" i="3"/>
  <c r="AT11" i="3" s="1"/>
  <c r="AD11" i="3"/>
  <c r="AU11" i="3" s="1"/>
  <c r="AE11" i="3"/>
  <c r="AV11" i="3" s="1"/>
  <c r="AF11" i="3"/>
  <c r="AW11" i="3" s="1"/>
  <c r="AG11" i="3"/>
  <c r="AX11" i="3" s="1"/>
  <c r="C12" i="3"/>
  <c r="C60" i="3" s="1"/>
  <c r="D12" i="3"/>
  <c r="P60" i="1" s="1"/>
  <c r="E12" i="3"/>
  <c r="Q60" i="1" s="1"/>
  <c r="F12" i="3"/>
  <c r="R60" i="1" s="1"/>
  <c r="G12" i="3"/>
  <c r="S60" i="1" s="1"/>
  <c r="H12" i="3"/>
  <c r="T60" i="1" s="1"/>
  <c r="I12" i="3"/>
  <c r="U60" i="1" s="1"/>
  <c r="J12" i="3"/>
  <c r="V60" i="1" s="1"/>
  <c r="K12" i="3"/>
  <c r="W60" i="1" s="1"/>
  <c r="L12" i="3"/>
  <c r="X60" i="1" s="1"/>
  <c r="M12" i="3"/>
  <c r="Y60" i="1" s="1"/>
  <c r="N12" i="3"/>
  <c r="Z60" i="1" s="1"/>
  <c r="O12" i="3"/>
  <c r="AA60" i="1" s="1"/>
  <c r="P12" i="3"/>
  <c r="AB60" i="1" s="1"/>
  <c r="T12" i="3"/>
  <c r="U12" i="3"/>
  <c r="AL12" i="3" s="1"/>
  <c r="V12" i="3"/>
  <c r="AM12" i="3" s="1"/>
  <c r="W12" i="3"/>
  <c r="AN12" i="3" s="1"/>
  <c r="X12" i="3"/>
  <c r="AO12" i="3" s="1"/>
  <c r="Y12" i="3"/>
  <c r="AP12" i="3" s="1"/>
  <c r="Z12" i="3"/>
  <c r="AQ12" i="3" s="1"/>
  <c r="AA12" i="3"/>
  <c r="AR12" i="3" s="1"/>
  <c r="AB12" i="3"/>
  <c r="AS12" i="3" s="1"/>
  <c r="AC12" i="3"/>
  <c r="AT12" i="3" s="1"/>
  <c r="AD12" i="3"/>
  <c r="AU12" i="3" s="1"/>
  <c r="AE12" i="3"/>
  <c r="AV12" i="3" s="1"/>
  <c r="AF12" i="3"/>
  <c r="AW12" i="3" s="1"/>
  <c r="AG12" i="3"/>
  <c r="AX12" i="3" s="1"/>
  <c r="C13" i="3"/>
  <c r="C61" i="3" s="1"/>
  <c r="D13" i="3"/>
  <c r="E13" i="3"/>
  <c r="Q57" i="1" s="1"/>
  <c r="F13" i="3"/>
  <c r="R57" i="1" s="1"/>
  <c r="G13" i="3"/>
  <c r="S57" i="1" s="1"/>
  <c r="H13" i="3"/>
  <c r="T57" i="1" s="1"/>
  <c r="I13" i="3"/>
  <c r="U57" i="1" s="1"/>
  <c r="J13" i="3"/>
  <c r="V57" i="1" s="1"/>
  <c r="K13" i="3"/>
  <c r="W57" i="1" s="1"/>
  <c r="L13" i="3"/>
  <c r="X57" i="1" s="1"/>
  <c r="M13" i="3"/>
  <c r="Y57" i="1" s="1"/>
  <c r="N13" i="3"/>
  <c r="Z57" i="1" s="1"/>
  <c r="O13" i="3"/>
  <c r="AA57" i="1" s="1"/>
  <c r="P13" i="3"/>
  <c r="AB57" i="1" s="1"/>
  <c r="T13" i="3"/>
  <c r="U13" i="3"/>
  <c r="AL13" i="3" s="1"/>
  <c r="V13" i="3"/>
  <c r="AM13" i="3" s="1"/>
  <c r="W13" i="3"/>
  <c r="AN13" i="3" s="1"/>
  <c r="X13" i="3"/>
  <c r="AO13" i="3" s="1"/>
  <c r="Y13" i="3"/>
  <c r="AP13" i="3" s="1"/>
  <c r="Z13" i="3"/>
  <c r="AQ13" i="3" s="1"/>
  <c r="AA13" i="3"/>
  <c r="AR13" i="3" s="1"/>
  <c r="AB13" i="3"/>
  <c r="AS13" i="3" s="1"/>
  <c r="AC13" i="3"/>
  <c r="AT13" i="3" s="1"/>
  <c r="AD13" i="3"/>
  <c r="AU13" i="3" s="1"/>
  <c r="AE13" i="3"/>
  <c r="AV13" i="3" s="1"/>
  <c r="AF13" i="3"/>
  <c r="AW13" i="3" s="1"/>
  <c r="AG13" i="3"/>
  <c r="AX13" i="3" s="1"/>
  <c r="C14" i="3"/>
  <c r="C38" i="3" s="1"/>
  <c r="D14" i="3"/>
  <c r="E14" i="3"/>
  <c r="Q58" i="1" s="1"/>
  <c r="F14" i="3"/>
  <c r="R58" i="1" s="1"/>
  <c r="G14" i="3"/>
  <c r="S58" i="1" s="1"/>
  <c r="H14" i="3"/>
  <c r="T58" i="1" s="1"/>
  <c r="I14" i="3"/>
  <c r="U58" i="1" s="1"/>
  <c r="J14" i="3"/>
  <c r="V58" i="1" s="1"/>
  <c r="K14" i="3"/>
  <c r="W58" i="1" s="1"/>
  <c r="L14" i="3"/>
  <c r="X58" i="1" s="1"/>
  <c r="M14" i="3"/>
  <c r="Y58" i="1" s="1"/>
  <c r="N14" i="3"/>
  <c r="Z58" i="1" s="1"/>
  <c r="O14" i="3"/>
  <c r="AA58" i="1" s="1"/>
  <c r="P14" i="3"/>
  <c r="AB58" i="1" s="1"/>
  <c r="T14" i="3"/>
  <c r="U14" i="3"/>
  <c r="AL14" i="3" s="1"/>
  <c r="V14" i="3"/>
  <c r="AM14" i="3" s="1"/>
  <c r="W14" i="3"/>
  <c r="AN14" i="3" s="1"/>
  <c r="X14" i="3"/>
  <c r="AO14" i="3" s="1"/>
  <c r="Y14" i="3"/>
  <c r="AP14" i="3" s="1"/>
  <c r="Z14" i="3"/>
  <c r="AQ14" i="3" s="1"/>
  <c r="AA14" i="3"/>
  <c r="AR14" i="3" s="1"/>
  <c r="AB14" i="3"/>
  <c r="AS14" i="3" s="1"/>
  <c r="AC14" i="3"/>
  <c r="AT14" i="3" s="1"/>
  <c r="AD14" i="3"/>
  <c r="AU14" i="3" s="1"/>
  <c r="AE14" i="3"/>
  <c r="AV14" i="3" s="1"/>
  <c r="AF14" i="3"/>
  <c r="AW14" i="3" s="1"/>
  <c r="AG14" i="3"/>
  <c r="AX14" i="3" s="1"/>
  <c r="C15" i="3"/>
  <c r="C63" i="3" s="1"/>
  <c r="D15" i="3"/>
  <c r="E15" i="3"/>
  <c r="Q59" i="1" s="1"/>
  <c r="F15" i="3"/>
  <c r="R59" i="1" s="1"/>
  <c r="G15" i="3"/>
  <c r="S59" i="1" s="1"/>
  <c r="H15" i="3"/>
  <c r="T59" i="1" s="1"/>
  <c r="I15" i="3"/>
  <c r="U59" i="1" s="1"/>
  <c r="J15" i="3"/>
  <c r="V59" i="1" s="1"/>
  <c r="K15" i="3"/>
  <c r="W59" i="1" s="1"/>
  <c r="L15" i="3"/>
  <c r="X59" i="1" s="1"/>
  <c r="M15" i="3"/>
  <c r="Y59" i="1" s="1"/>
  <c r="N15" i="3"/>
  <c r="Z59" i="1" s="1"/>
  <c r="O15" i="3"/>
  <c r="AA59" i="1" s="1"/>
  <c r="P15" i="3"/>
  <c r="AB59" i="1" s="1"/>
  <c r="T15" i="3"/>
  <c r="U15" i="3"/>
  <c r="AL15" i="3" s="1"/>
  <c r="V15" i="3"/>
  <c r="AM15" i="3" s="1"/>
  <c r="W15" i="3"/>
  <c r="AN15" i="3" s="1"/>
  <c r="X15" i="3"/>
  <c r="AO15" i="3" s="1"/>
  <c r="Y15" i="3"/>
  <c r="AP15" i="3" s="1"/>
  <c r="Z15" i="3"/>
  <c r="AQ15" i="3" s="1"/>
  <c r="AA15" i="3"/>
  <c r="AR15" i="3" s="1"/>
  <c r="AB15" i="3"/>
  <c r="AS15" i="3" s="1"/>
  <c r="AC15" i="3"/>
  <c r="AT15" i="3" s="1"/>
  <c r="AD15" i="3"/>
  <c r="AU15" i="3" s="1"/>
  <c r="AE15" i="3"/>
  <c r="AV15" i="3" s="1"/>
  <c r="AF15" i="3"/>
  <c r="AW15" i="3" s="1"/>
  <c r="AG15" i="3"/>
  <c r="AX15" i="3" s="1"/>
  <c r="C19" i="3"/>
  <c r="C43" i="3" s="1"/>
  <c r="D19" i="3"/>
  <c r="D18" i="3" s="1"/>
  <c r="P177" i="1" s="1"/>
  <c r="E19" i="3"/>
  <c r="E18" i="3" s="1"/>
  <c r="F19" i="3"/>
  <c r="F18" i="3" s="1"/>
  <c r="G19" i="3"/>
  <c r="G18" i="3" s="1"/>
  <c r="H19" i="3"/>
  <c r="H18" i="3" s="1"/>
  <c r="I19" i="3"/>
  <c r="I18" i="3" s="1"/>
  <c r="J19" i="3"/>
  <c r="J18" i="3" s="1"/>
  <c r="K19" i="3"/>
  <c r="K18" i="3" s="1"/>
  <c r="L19" i="3"/>
  <c r="L18" i="3" s="1"/>
  <c r="M19" i="3"/>
  <c r="M18" i="3" s="1"/>
  <c r="N19" i="3"/>
  <c r="N18" i="3" s="1"/>
  <c r="O19" i="3"/>
  <c r="O18" i="3" s="1"/>
  <c r="P19" i="3"/>
  <c r="P18" i="3" s="1"/>
  <c r="T19" i="3"/>
  <c r="U19" i="3"/>
  <c r="AL19" i="3" s="1"/>
  <c r="V19" i="3"/>
  <c r="AM19" i="3" s="1"/>
  <c r="W19" i="3"/>
  <c r="AN19" i="3" s="1"/>
  <c r="X19" i="3"/>
  <c r="AO19" i="3" s="1"/>
  <c r="Y19" i="3"/>
  <c r="AP19" i="3" s="1"/>
  <c r="Z19" i="3"/>
  <c r="AQ19" i="3" s="1"/>
  <c r="AA19" i="3"/>
  <c r="AR19" i="3" s="1"/>
  <c r="AB19" i="3"/>
  <c r="AS19" i="3" s="1"/>
  <c r="AC19" i="3"/>
  <c r="AT19" i="3" s="1"/>
  <c r="AD19" i="3"/>
  <c r="AU19" i="3" s="1"/>
  <c r="AE19" i="3"/>
  <c r="AV19" i="3" s="1"/>
  <c r="AF19" i="3"/>
  <c r="AW19" i="3" s="1"/>
  <c r="AG19" i="3"/>
  <c r="AX19" i="3" s="1"/>
  <c r="C20" i="3"/>
  <c r="C44" i="3" s="1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T20" i="3"/>
  <c r="U20" i="3"/>
  <c r="AL20" i="3" s="1"/>
  <c r="V20" i="3"/>
  <c r="AM20" i="3" s="1"/>
  <c r="W20" i="3"/>
  <c r="AN20" i="3" s="1"/>
  <c r="X20" i="3"/>
  <c r="AO20" i="3" s="1"/>
  <c r="Y20" i="3"/>
  <c r="AP20" i="3" s="1"/>
  <c r="Z20" i="3"/>
  <c r="AQ20" i="3" s="1"/>
  <c r="AA20" i="3"/>
  <c r="AR20" i="3" s="1"/>
  <c r="AB20" i="3"/>
  <c r="AS20" i="3" s="1"/>
  <c r="AC20" i="3"/>
  <c r="AT20" i="3" s="1"/>
  <c r="AD20" i="3"/>
  <c r="AU20" i="3" s="1"/>
  <c r="AE20" i="3"/>
  <c r="AV20" i="3" s="1"/>
  <c r="AF20" i="3"/>
  <c r="AW20" i="3" s="1"/>
  <c r="AG20" i="3"/>
  <c r="AX20" i="3" s="1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T21" i="3"/>
  <c r="U21" i="3"/>
  <c r="AL21" i="3" s="1"/>
  <c r="V21" i="3"/>
  <c r="AM21" i="3" s="1"/>
  <c r="W21" i="3"/>
  <c r="AN21" i="3" s="1"/>
  <c r="X21" i="3"/>
  <c r="AO21" i="3" s="1"/>
  <c r="Y21" i="3"/>
  <c r="AP21" i="3" s="1"/>
  <c r="Z21" i="3"/>
  <c r="AQ21" i="3" s="1"/>
  <c r="AA21" i="3"/>
  <c r="AR21" i="3" s="1"/>
  <c r="AB21" i="3"/>
  <c r="AS21" i="3" s="1"/>
  <c r="AC21" i="3"/>
  <c r="AT21" i="3" s="1"/>
  <c r="AD21" i="3"/>
  <c r="AU21" i="3" s="1"/>
  <c r="AE21" i="3"/>
  <c r="AV21" i="3" s="1"/>
  <c r="AF21" i="3"/>
  <c r="AW21" i="3" s="1"/>
  <c r="AG21" i="3"/>
  <c r="AX21" i="3" s="1"/>
  <c r="C22" i="3"/>
  <c r="C46" i="3" s="1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T22" i="3"/>
  <c r="U22" i="3"/>
  <c r="AL22" i="3" s="1"/>
  <c r="V22" i="3"/>
  <c r="AM22" i="3" s="1"/>
  <c r="W22" i="3"/>
  <c r="AN22" i="3" s="1"/>
  <c r="X22" i="3"/>
  <c r="AO22" i="3" s="1"/>
  <c r="Y22" i="3"/>
  <c r="AP22" i="3" s="1"/>
  <c r="Z22" i="3"/>
  <c r="AQ22" i="3" s="1"/>
  <c r="AA22" i="3"/>
  <c r="AR22" i="3" s="1"/>
  <c r="AB22" i="3"/>
  <c r="AS22" i="3" s="1"/>
  <c r="AC22" i="3"/>
  <c r="AT22" i="3" s="1"/>
  <c r="AD22" i="3"/>
  <c r="AU22" i="3" s="1"/>
  <c r="AE22" i="3"/>
  <c r="AV22" i="3" s="1"/>
  <c r="AF22" i="3"/>
  <c r="AW22" i="3" s="1"/>
  <c r="AG22" i="3"/>
  <c r="AX22" i="3" s="1"/>
  <c r="C23" i="3"/>
  <c r="C71" i="3" s="1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T23" i="3"/>
  <c r="U23" i="3"/>
  <c r="AL23" i="3" s="1"/>
  <c r="V23" i="3"/>
  <c r="AM23" i="3" s="1"/>
  <c r="W23" i="3"/>
  <c r="AN23" i="3" s="1"/>
  <c r="X23" i="3"/>
  <c r="AO23" i="3" s="1"/>
  <c r="Y23" i="3"/>
  <c r="AP23" i="3" s="1"/>
  <c r="Z23" i="3"/>
  <c r="AQ23" i="3" s="1"/>
  <c r="AA23" i="3"/>
  <c r="AR23" i="3" s="1"/>
  <c r="AB23" i="3"/>
  <c r="AS23" i="3" s="1"/>
  <c r="AC23" i="3"/>
  <c r="AT23" i="3" s="1"/>
  <c r="AD23" i="3"/>
  <c r="AU23" i="3" s="1"/>
  <c r="AE23" i="3"/>
  <c r="AV23" i="3" s="1"/>
  <c r="AF23" i="3"/>
  <c r="AW23" i="3" s="1"/>
  <c r="AG23" i="3"/>
  <c r="AX23" i="3" s="1"/>
  <c r="AQ18" i="3" l="1"/>
  <c r="I42" i="3" s="1"/>
  <c r="AS18" i="3"/>
  <c r="K66" i="3" s="1"/>
  <c r="AL18" i="3"/>
  <c r="D42" i="3" s="1"/>
  <c r="AU18" i="3"/>
  <c r="M66" i="3" s="1"/>
  <c r="AV18" i="3"/>
  <c r="AW18" i="3"/>
  <c r="O66" i="3" s="1"/>
  <c r="AX18" i="3"/>
  <c r="P66" i="3" s="1"/>
  <c r="AT18" i="3"/>
  <c r="L66" i="3" s="1"/>
  <c r="AO18" i="3"/>
  <c r="G66" i="3" s="1"/>
  <c r="AR18" i="3"/>
  <c r="J66" i="3" s="1"/>
  <c r="AP18" i="3"/>
  <c r="H42" i="3" s="1"/>
  <c r="AN18" i="3"/>
  <c r="F66" i="3" s="1"/>
  <c r="AM18" i="3"/>
  <c r="E66" i="3" s="1"/>
  <c r="O10" i="3"/>
  <c r="AA56" i="1" s="1"/>
  <c r="G10" i="3"/>
  <c r="S56" i="1" s="1"/>
  <c r="C18" i="3"/>
  <c r="C42" i="3" s="1"/>
  <c r="I10" i="3"/>
  <c r="U56" i="1" s="1"/>
  <c r="N10" i="3"/>
  <c r="Z56" i="1" s="1"/>
  <c r="M10" i="3"/>
  <c r="Y56" i="1" s="1"/>
  <c r="L10" i="3"/>
  <c r="X56" i="1" s="1"/>
  <c r="K10" i="3"/>
  <c r="W56" i="1" s="1"/>
  <c r="J10" i="3"/>
  <c r="V56" i="1" s="1"/>
  <c r="H10" i="3"/>
  <c r="T56" i="1" s="1"/>
  <c r="P10" i="3"/>
  <c r="AB56" i="1" s="1"/>
  <c r="F10" i="3"/>
  <c r="R56" i="1" s="1"/>
  <c r="E10" i="3"/>
  <c r="Q56" i="1" s="1"/>
  <c r="D10" i="3"/>
  <c r="P56" i="1" s="1"/>
  <c r="C10" i="3"/>
  <c r="C58" i="3" s="1"/>
  <c r="C13" i="33"/>
  <c r="J13" i="33"/>
  <c r="L18" i="33"/>
  <c r="J19" i="33"/>
  <c r="I12" i="33"/>
  <c r="D18" i="33"/>
  <c r="M19" i="33"/>
  <c r="C18" i="33"/>
  <c r="I18" i="33"/>
  <c r="K18" i="33"/>
  <c r="H20" i="33"/>
  <c r="G20" i="33"/>
  <c r="F20" i="33"/>
  <c r="H18" i="33"/>
  <c r="E20" i="33"/>
  <c r="G18" i="33"/>
  <c r="D20" i="33"/>
  <c r="F18" i="33"/>
  <c r="I20" i="33"/>
  <c r="J18" i="33"/>
  <c r="N19" i="33"/>
  <c r="L19" i="33"/>
  <c r="K19" i="33"/>
  <c r="C20" i="33"/>
  <c r="E18" i="33"/>
  <c r="C17" i="33"/>
  <c r="H19" i="33"/>
  <c r="K17" i="33"/>
  <c r="B19" i="33"/>
  <c r="B20" i="33"/>
  <c r="D19" i="33"/>
  <c r="M20" i="33"/>
  <c r="C19" i="33"/>
  <c r="L20" i="33"/>
  <c r="N18" i="33"/>
  <c r="B11" i="33"/>
  <c r="G12" i="33"/>
  <c r="J17" i="33"/>
  <c r="F19" i="33"/>
  <c r="E19" i="33"/>
  <c r="N20" i="33"/>
  <c r="K20" i="33"/>
  <c r="M18" i="33"/>
  <c r="I19" i="33"/>
  <c r="G19" i="33"/>
  <c r="J20" i="33"/>
  <c r="N17" i="33"/>
  <c r="M17" i="33"/>
  <c r="L17" i="33"/>
  <c r="I17" i="33"/>
  <c r="H17" i="33"/>
  <c r="G17" i="33"/>
  <c r="F17" i="33"/>
  <c r="E17" i="33"/>
  <c r="B17" i="33"/>
  <c r="D17" i="33"/>
  <c r="J12" i="33"/>
  <c r="B18" i="33"/>
  <c r="K13" i="33"/>
  <c r="H12" i="33"/>
  <c r="N10" i="33"/>
  <c r="H13" i="33"/>
  <c r="J11" i="33"/>
  <c r="B12" i="33"/>
  <c r="F12" i="33"/>
  <c r="G13" i="33"/>
  <c r="L10" i="33"/>
  <c r="F13" i="33"/>
  <c r="H11" i="33"/>
  <c r="E13" i="33"/>
  <c r="G11" i="33"/>
  <c r="N12" i="33"/>
  <c r="D11" i="33"/>
  <c r="D13" i="33"/>
  <c r="B13" i="33"/>
  <c r="E12" i="33"/>
  <c r="N13" i="33"/>
  <c r="L12" i="33"/>
  <c r="M13" i="33"/>
  <c r="L13" i="33"/>
  <c r="I13" i="33"/>
  <c r="D12" i="33"/>
  <c r="K10" i="33"/>
  <c r="C12" i="33"/>
  <c r="J10" i="33"/>
  <c r="F11" i="33"/>
  <c r="N11" i="33"/>
  <c r="I10" i="33"/>
  <c r="E11" i="33"/>
  <c r="M11" i="33"/>
  <c r="L11" i="33"/>
  <c r="H10" i="33"/>
  <c r="G10" i="33"/>
  <c r="M12" i="33"/>
  <c r="C11" i="33"/>
  <c r="K11" i="33"/>
  <c r="K12" i="33"/>
  <c r="I11" i="33"/>
  <c r="M10" i="33"/>
  <c r="F10" i="33"/>
  <c r="E10" i="33"/>
  <c r="D10" i="33"/>
  <c r="C10" i="33"/>
  <c r="B10" i="33"/>
  <c r="B2" i="33"/>
  <c r="C2" i="33"/>
  <c r="N2" i="33"/>
  <c r="M2" i="33"/>
  <c r="I2" i="33"/>
  <c r="H2" i="33"/>
  <c r="K2" i="33"/>
  <c r="F2" i="33"/>
  <c r="L2" i="33"/>
  <c r="E2" i="33"/>
  <c r="G2" i="33"/>
  <c r="J2" i="33"/>
  <c r="D2" i="33"/>
  <c r="L27" i="3"/>
  <c r="P59" i="1"/>
  <c r="P58" i="1"/>
  <c r="N28" i="3"/>
  <c r="P57" i="1"/>
  <c r="M38" i="3"/>
  <c r="G55" i="3"/>
  <c r="I51" i="3"/>
  <c r="F31" i="3"/>
  <c r="O28" i="3"/>
  <c r="J51" i="3"/>
  <c r="L51" i="3"/>
  <c r="I55" i="3"/>
  <c r="M28" i="3"/>
  <c r="H39" i="3"/>
  <c r="L53" i="3"/>
  <c r="D29" i="3"/>
  <c r="M51" i="3"/>
  <c r="H31" i="3"/>
  <c r="G39" i="3"/>
  <c r="K53" i="3"/>
  <c r="J53" i="3"/>
  <c r="I53" i="3"/>
  <c r="H53" i="3"/>
  <c r="O61" i="3"/>
  <c r="G61" i="3"/>
  <c r="N61" i="3"/>
  <c r="K60" i="3"/>
  <c r="P35" i="3"/>
  <c r="J60" i="3"/>
  <c r="I36" i="3"/>
  <c r="C55" i="3"/>
  <c r="O35" i="3"/>
  <c r="P38" i="3"/>
  <c r="N27" i="3"/>
  <c r="O68" i="3"/>
  <c r="I63" i="3"/>
  <c r="O62" i="3"/>
  <c r="L54" i="3"/>
  <c r="N62" i="3"/>
  <c r="L62" i="3"/>
  <c r="M43" i="3"/>
  <c r="D55" i="3"/>
  <c r="M63" i="3"/>
  <c r="I68" i="3"/>
  <c r="H71" i="3"/>
  <c r="P46" i="3"/>
  <c r="J30" i="3"/>
  <c r="P30" i="3"/>
  <c r="P27" i="3"/>
  <c r="O30" i="3"/>
  <c r="C67" i="3"/>
  <c r="E39" i="3"/>
  <c r="K38" i="3"/>
  <c r="N30" i="3"/>
  <c r="O51" i="3"/>
  <c r="K35" i="3"/>
  <c r="M27" i="3"/>
  <c r="D36" i="3"/>
  <c r="M30" i="3"/>
  <c r="N51" i="3"/>
  <c r="I46" i="3"/>
  <c r="H46" i="3"/>
  <c r="P31" i="3"/>
  <c r="L45" i="3"/>
  <c r="O31" i="3"/>
  <c r="O38" i="3"/>
  <c r="E71" i="3"/>
  <c r="O46" i="3"/>
  <c r="G53" i="3"/>
  <c r="F71" i="3"/>
  <c r="F70" i="3"/>
  <c r="N38" i="3"/>
  <c r="K54" i="3"/>
  <c r="C36" i="3"/>
  <c r="H69" i="3"/>
  <c r="F39" i="3"/>
  <c r="M59" i="3"/>
  <c r="G69" i="3"/>
  <c r="O29" i="3"/>
  <c r="N53" i="3"/>
  <c r="J61" i="3"/>
  <c r="K71" i="3"/>
  <c r="I61" i="3"/>
  <c r="J71" i="3"/>
  <c r="P61" i="3"/>
  <c r="H61" i="3"/>
  <c r="N60" i="3"/>
  <c r="E31" i="3"/>
  <c r="M68" i="3"/>
  <c r="I30" i="3"/>
  <c r="K27" i="3"/>
  <c r="L61" i="3"/>
  <c r="K61" i="3"/>
  <c r="M53" i="3"/>
  <c r="I71" i="3"/>
  <c r="E70" i="3"/>
  <c r="G37" i="3"/>
  <c r="J45" i="3"/>
  <c r="F53" i="3"/>
  <c r="C28" i="3"/>
  <c r="I45" i="3"/>
  <c r="J63" i="3"/>
  <c r="E53" i="3"/>
  <c r="P52" i="3"/>
  <c r="M60" i="3"/>
  <c r="K45" i="3"/>
  <c r="L63" i="3"/>
  <c r="L60" i="3"/>
  <c r="K63" i="3"/>
  <c r="D53" i="3"/>
  <c r="O27" i="3"/>
  <c r="H63" i="3"/>
  <c r="G63" i="3"/>
  <c r="K51" i="3"/>
  <c r="P59" i="3"/>
  <c r="E63" i="3"/>
  <c r="N29" i="3"/>
  <c r="G30" i="3"/>
  <c r="M29" i="3"/>
  <c r="N59" i="3"/>
  <c r="N68" i="3"/>
  <c r="E67" i="3"/>
  <c r="I39" i="3"/>
  <c r="C39" i="3"/>
  <c r="D43" i="3"/>
  <c r="L68" i="3"/>
  <c r="O59" i="3"/>
  <c r="F63" i="3"/>
  <c r="K47" i="3"/>
  <c r="P43" i="3"/>
  <c r="J44" i="3"/>
  <c r="J68" i="3"/>
  <c r="K68" i="3"/>
  <c r="K44" i="3"/>
  <c r="C53" i="3"/>
  <c r="M37" i="3"/>
  <c r="G28" i="3"/>
  <c r="I35" i="3"/>
  <c r="P2" i="3"/>
  <c r="C70" i="3"/>
  <c r="L30" i="3"/>
  <c r="G70" i="3"/>
  <c r="E68" i="3"/>
  <c r="J37" i="3"/>
  <c r="L38" i="3"/>
  <c r="K30" i="3"/>
  <c r="J47" i="3"/>
  <c r="D44" i="3"/>
  <c r="M62" i="3"/>
  <c r="I37" i="3"/>
  <c r="H54" i="3"/>
  <c r="F44" i="3"/>
  <c r="I47" i="3"/>
  <c r="H37" i="3"/>
  <c r="P51" i="3"/>
  <c r="D46" i="3"/>
  <c r="K69" i="3"/>
  <c r="K62" i="3"/>
  <c r="H36" i="3"/>
  <c r="L29" i="3"/>
  <c r="O67" i="3"/>
  <c r="N67" i="3"/>
  <c r="C62" i="3"/>
  <c r="O37" i="3"/>
  <c r="G36" i="3"/>
  <c r="K29" i="3"/>
  <c r="P70" i="3"/>
  <c r="F36" i="3"/>
  <c r="J29" i="3"/>
  <c r="G54" i="3"/>
  <c r="E61" i="3"/>
  <c r="K37" i="3"/>
  <c r="H47" i="3"/>
  <c r="I69" i="3"/>
  <c r="G43" i="3"/>
  <c r="C68" i="3"/>
  <c r="O70" i="3"/>
  <c r="P62" i="3"/>
  <c r="I29" i="3"/>
  <c r="L71" i="3"/>
  <c r="L44" i="3"/>
  <c r="E43" i="3"/>
  <c r="L36" i="3"/>
  <c r="D60" i="3"/>
  <c r="P54" i="3"/>
  <c r="H29" i="3"/>
  <c r="E46" i="3"/>
  <c r="I70" i="3"/>
  <c r="D31" i="3"/>
  <c r="F61" i="3"/>
  <c r="M69" i="3"/>
  <c r="J35" i="3"/>
  <c r="G44" i="3"/>
  <c r="L37" i="3"/>
  <c r="F28" i="3"/>
  <c r="D70" i="3"/>
  <c r="L69" i="3"/>
  <c r="E55" i="3"/>
  <c r="O47" i="3"/>
  <c r="O44" i="3"/>
  <c r="C30" i="3"/>
  <c r="N44" i="3"/>
  <c r="I44" i="3"/>
  <c r="F43" i="3"/>
  <c r="G67" i="3"/>
  <c r="P37" i="3"/>
  <c r="K36" i="3"/>
  <c r="O54" i="3"/>
  <c r="G29" i="3"/>
  <c r="E27" i="3"/>
  <c r="H70" i="3"/>
  <c r="H44" i="3"/>
  <c r="J69" i="3"/>
  <c r="N71" i="3"/>
  <c r="E47" i="3"/>
  <c r="F67" i="3"/>
  <c r="E62" i="3"/>
  <c r="J36" i="3"/>
  <c r="N54" i="3"/>
  <c r="F29" i="3"/>
  <c r="O52" i="3"/>
  <c r="D61" i="3"/>
  <c r="N52" i="3"/>
  <c r="P47" i="3"/>
  <c r="G47" i="3"/>
  <c r="F47" i="3"/>
  <c r="M71" i="3"/>
  <c r="M44" i="3"/>
  <c r="E36" i="3"/>
  <c r="P28" i="3"/>
  <c r="O53" i="3"/>
  <c r="N35" i="3"/>
  <c r="D67" i="3"/>
  <c r="M35" i="3"/>
  <c r="D62" i="3"/>
  <c r="M54" i="3"/>
  <c r="E29" i="3"/>
  <c r="L59" i="3"/>
  <c r="L35" i="3"/>
  <c r="D39" i="3"/>
  <c r="D63" i="3"/>
  <c r="P69" i="3"/>
  <c r="P45" i="3"/>
  <c r="O45" i="3"/>
  <c r="O69" i="3"/>
  <c r="N45" i="3"/>
  <c r="N69" i="3"/>
  <c r="E54" i="3"/>
  <c r="E30" i="3"/>
  <c r="D54" i="3"/>
  <c r="D30" i="3"/>
  <c r="M61" i="3"/>
  <c r="N43" i="3"/>
  <c r="D59" i="3"/>
  <c r="D35" i="3"/>
  <c r="M55" i="3"/>
  <c r="M31" i="3"/>
  <c r="K52" i="3"/>
  <c r="K2" i="3"/>
  <c r="K28" i="3"/>
  <c r="J55" i="3"/>
  <c r="H52" i="3"/>
  <c r="H28" i="3"/>
  <c r="J52" i="3"/>
  <c r="J28" i="3"/>
  <c r="L67" i="3"/>
  <c r="M45" i="3"/>
  <c r="D69" i="3"/>
  <c r="D45" i="3"/>
  <c r="J67" i="3"/>
  <c r="O60" i="3"/>
  <c r="O36" i="3"/>
  <c r="G68" i="3"/>
  <c r="C69" i="3"/>
  <c r="C45" i="3"/>
  <c r="F68" i="3"/>
  <c r="M47" i="3"/>
  <c r="L47" i="3"/>
  <c r="G60" i="3"/>
  <c r="J70" i="3"/>
  <c r="J46" i="3"/>
  <c r="F62" i="3"/>
  <c r="F38" i="3"/>
  <c r="H2" i="3"/>
  <c r="H51" i="3"/>
  <c r="F2" i="3"/>
  <c r="F51" i="3"/>
  <c r="M70" i="3"/>
  <c r="M46" i="3"/>
  <c r="J59" i="3"/>
  <c r="F27" i="3"/>
  <c r="C2" i="3"/>
  <c r="C51" i="3"/>
  <c r="C27" i="3"/>
  <c r="K55" i="3"/>
  <c r="K31" i="3"/>
  <c r="G71" i="3"/>
  <c r="K67" i="3"/>
  <c r="P60" i="3"/>
  <c r="P36" i="3"/>
  <c r="H68" i="3"/>
  <c r="H67" i="3"/>
  <c r="H43" i="3"/>
  <c r="E28" i="3"/>
  <c r="D68" i="3"/>
  <c r="H45" i="3"/>
  <c r="H60" i="3"/>
  <c r="K70" i="3"/>
  <c r="K46" i="3"/>
  <c r="J2" i="3"/>
  <c r="O63" i="3"/>
  <c r="O39" i="3"/>
  <c r="G2" i="3"/>
  <c r="G51" i="3"/>
  <c r="L39" i="3"/>
  <c r="E44" i="3"/>
  <c r="O71" i="3"/>
  <c r="E52" i="3"/>
  <c r="C37" i="3"/>
  <c r="I67" i="3"/>
  <c r="G31" i="3"/>
  <c r="D28" i="3"/>
  <c r="I62" i="3"/>
  <c r="I38" i="3"/>
  <c r="P63" i="3"/>
  <c r="P39" i="3"/>
  <c r="G62" i="3"/>
  <c r="G38" i="3"/>
  <c r="I2" i="3"/>
  <c r="F60" i="3"/>
  <c r="H30" i="3"/>
  <c r="N63" i="3"/>
  <c r="N39" i="3"/>
  <c r="I27" i="3"/>
  <c r="M39" i="3"/>
  <c r="F37" i="3"/>
  <c r="H27" i="3"/>
  <c r="K59" i="3"/>
  <c r="G52" i="3"/>
  <c r="D2" i="3"/>
  <c r="D51" i="3"/>
  <c r="D27" i="3"/>
  <c r="P71" i="3"/>
  <c r="F52" i="3"/>
  <c r="D52" i="3"/>
  <c r="N47" i="3"/>
  <c r="P55" i="3"/>
  <c r="F54" i="3"/>
  <c r="F30" i="3"/>
  <c r="O2" i="3"/>
  <c r="H59" i="3"/>
  <c r="H35" i="3"/>
  <c r="I31" i="3"/>
  <c r="P68" i="3"/>
  <c r="P44" i="3"/>
  <c r="P53" i="3"/>
  <c r="P29" i="3"/>
  <c r="N37" i="3"/>
  <c r="D71" i="3"/>
  <c r="J62" i="3"/>
  <c r="J38" i="3"/>
  <c r="E60" i="3"/>
  <c r="J27" i="3"/>
  <c r="E38" i="3"/>
  <c r="N70" i="3"/>
  <c r="N46" i="3"/>
  <c r="D47" i="3"/>
  <c r="C47" i="3"/>
  <c r="L70" i="3"/>
  <c r="L46" i="3"/>
  <c r="J39" i="3"/>
  <c r="C59" i="3"/>
  <c r="F59" i="3"/>
  <c r="F35" i="3"/>
  <c r="O55" i="3"/>
  <c r="J54" i="3"/>
  <c r="M52" i="3"/>
  <c r="N2" i="3"/>
  <c r="L55" i="3"/>
  <c r="L31" i="3"/>
  <c r="M67" i="3"/>
  <c r="I52" i="3"/>
  <c r="I28" i="3"/>
  <c r="F69" i="3"/>
  <c r="F45" i="3"/>
  <c r="E69" i="3"/>
  <c r="E45" i="3"/>
  <c r="G59" i="3"/>
  <c r="G35" i="3"/>
  <c r="I60" i="3"/>
  <c r="G45" i="3"/>
  <c r="H62" i="3"/>
  <c r="H38" i="3"/>
  <c r="H55" i="3"/>
  <c r="F55" i="3"/>
  <c r="G46" i="3"/>
  <c r="D38" i="3"/>
  <c r="F46" i="3"/>
  <c r="E2" i="3"/>
  <c r="E51" i="3"/>
  <c r="E37" i="3"/>
  <c r="G27" i="3"/>
  <c r="K39" i="3"/>
  <c r="D37" i="3"/>
  <c r="I59" i="3"/>
  <c r="O43" i="3"/>
  <c r="P67" i="3"/>
  <c r="E59" i="3"/>
  <c r="E35" i="3"/>
  <c r="N55" i="3"/>
  <c r="N31" i="3"/>
  <c r="I54" i="3"/>
  <c r="L52" i="3"/>
  <c r="L28" i="3"/>
  <c r="L2" i="3"/>
  <c r="M2" i="3"/>
  <c r="J43" i="3"/>
  <c r="N36" i="3"/>
  <c r="L43" i="3"/>
  <c r="K43" i="3"/>
  <c r="I43" i="3"/>
  <c r="M36" i="3"/>
  <c r="J31" i="3"/>
  <c r="AN10" i="3" l="1"/>
  <c r="F58" i="3" s="1"/>
  <c r="AX10" i="3"/>
  <c r="P34" i="3" s="1"/>
  <c r="AQ10" i="3"/>
  <c r="I58" i="3" s="1"/>
  <c r="AT10" i="3"/>
  <c r="L58" i="3" s="1"/>
  <c r="AU10" i="3"/>
  <c r="M58" i="3" s="1"/>
  <c r="I66" i="3"/>
  <c r="F42" i="3"/>
  <c r="J42" i="3"/>
  <c r="E42" i="3"/>
  <c r="N42" i="3"/>
  <c r="N66" i="3"/>
  <c r="L42" i="3"/>
  <c r="D66" i="3"/>
  <c r="G42" i="3"/>
  <c r="H66" i="3"/>
  <c r="O42" i="3"/>
  <c r="K42" i="3"/>
  <c r="M42" i="3"/>
  <c r="P42" i="3"/>
  <c r="AM10" i="3"/>
  <c r="E58" i="3" s="1"/>
  <c r="AL10" i="3"/>
  <c r="D34" i="3" s="1"/>
  <c r="C66" i="3"/>
  <c r="AO10" i="3"/>
  <c r="G58" i="3" s="1"/>
  <c r="AV10" i="3"/>
  <c r="N58" i="3" s="1"/>
  <c r="AP10" i="3"/>
  <c r="H58" i="3" s="1"/>
  <c r="AW10" i="3"/>
  <c r="O34" i="3" s="1"/>
  <c r="AR10" i="3"/>
  <c r="J58" i="3" s="1"/>
  <c r="AS10" i="3"/>
  <c r="K34" i="3" s="1"/>
  <c r="C34" i="3"/>
  <c r="X107" i="1"/>
  <c r="U107" i="1"/>
  <c r="S107" i="1"/>
  <c r="Z107" i="1"/>
  <c r="T107" i="1"/>
  <c r="P107" i="1"/>
  <c r="R107" i="1"/>
  <c r="Y107" i="1"/>
  <c r="V107" i="1"/>
  <c r="W107" i="1"/>
  <c r="AA107" i="1"/>
  <c r="AB107" i="1"/>
  <c r="Q107" i="1"/>
  <c r="I9" i="33"/>
  <c r="K9" i="33"/>
  <c r="I16" i="33"/>
  <c r="K16" i="33"/>
  <c r="J9" i="33"/>
  <c r="G9" i="33"/>
  <c r="L16" i="33"/>
  <c r="H9" i="33"/>
  <c r="L9" i="33"/>
  <c r="N9" i="33"/>
  <c r="B9" i="33"/>
  <c r="C9" i="33"/>
  <c r="D9" i="33"/>
  <c r="E9" i="33"/>
  <c r="F9" i="33"/>
  <c r="D16" i="33"/>
  <c r="M9" i="33"/>
  <c r="G16" i="33"/>
  <c r="M16" i="33"/>
  <c r="N16" i="33"/>
  <c r="C16" i="33"/>
  <c r="H16" i="33"/>
  <c r="J16" i="33"/>
  <c r="B16" i="33"/>
  <c r="E16" i="33"/>
  <c r="F16" i="33"/>
  <c r="F34" i="3" l="1"/>
  <c r="P58" i="3"/>
  <c r="E34" i="3"/>
  <c r="L34" i="3"/>
  <c r="G34" i="3"/>
  <c r="H34" i="3"/>
  <c r="M34" i="3"/>
  <c r="D58" i="3"/>
  <c r="N34" i="3"/>
  <c r="I34" i="3"/>
  <c r="K58" i="3"/>
  <c r="O58" i="3"/>
  <c r="J34" i="3"/>
  <c r="Q177" i="1"/>
  <c r="R177" i="1"/>
  <c r="S177" i="1"/>
  <c r="T177" i="1"/>
  <c r="U177" i="1"/>
  <c r="V177" i="1"/>
  <c r="W177" i="1"/>
  <c r="X177" i="1"/>
  <c r="Y177" i="1"/>
  <c r="Z177" i="1"/>
  <c r="AA177" i="1"/>
  <c r="AB177" i="1"/>
  <c r="P182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AB182" i="1"/>
  <c r="AA182" i="1"/>
  <c r="Z182" i="1"/>
  <c r="Y182" i="1"/>
  <c r="X182" i="1"/>
  <c r="W182" i="1"/>
  <c r="V182" i="1"/>
  <c r="U182" i="1"/>
  <c r="T182" i="1"/>
  <c r="S182" i="1"/>
  <c r="R182" i="1"/>
  <c r="Q18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<sst xmlns="http://schemas.openxmlformats.org/spreadsheetml/2006/main" count="314" uniqueCount="63">
  <si>
    <t>Model input overview</t>
  </si>
  <si>
    <t>Region</t>
  </si>
  <si>
    <t>Run start year</t>
  </si>
  <si>
    <t>Centre</t>
  </si>
  <si>
    <t>Run end year</t>
  </si>
  <si>
    <t xml:space="preserve">Capacity Planning </t>
  </si>
  <si>
    <t>Total incidence per year broken down by activity (Current Scenario)</t>
  </si>
  <si>
    <t xml:space="preserve">Prevalence </t>
  </si>
  <si>
    <t xml:space="preserve">Current </t>
  </si>
  <si>
    <t xml:space="preserve">Total </t>
  </si>
  <si>
    <t>ICHD</t>
  </si>
  <si>
    <t>HHD</t>
  </si>
  <si>
    <t>PD</t>
  </si>
  <si>
    <t>Tx</t>
  </si>
  <si>
    <t>Default</t>
  </si>
  <si>
    <t>Costs (Within the KRT system)</t>
  </si>
  <si>
    <t xml:space="preserve">Cost </t>
  </si>
  <si>
    <t>Total cost of KRT broken down by activity (Default Scenario)</t>
  </si>
  <si>
    <t>Total cost of KRT broken down by activity (Current Scenario)</t>
  </si>
  <si>
    <t>Other performance measures</t>
  </si>
  <si>
    <t>Percentage on home dialysis (Default vs. Current Scenario)</t>
  </si>
  <si>
    <t>Percentage on home dialysis (Data Table)</t>
  </si>
  <si>
    <t xml:space="preserve">Percentage of transplants that happened pre-emptively (Default vs. Current Scenario) </t>
  </si>
  <si>
    <t>Percentage of transplants that happened pre-emptively (Data Table)</t>
  </si>
  <si>
    <t>Mortality</t>
  </si>
  <si>
    <t>Total mortality of KRT (Data Table)</t>
  </si>
  <si>
    <t>Total mortality of KRT broken down by activity (Default Scenario)</t>
  </si>
  <si>
    <t>Total mortailty of KRT broken down by activity (Current Scenario)</t>
  </si>
  <si>
    <t>Incidence</t>
  </si>
  <si>
    <t>Cadaver</t>
  </si>
  <si>
    <t>Validation</t>
  </si>
  <si>
    <t>Live</t>
  </si>
  <si>
    <t>Prevalence</t>
  </si>
  <si>
    <t>Total</t>
  </si>
  <si>
    <t>model_run</t>
  </si>
  <si>
    <t>mean</t>
  </si>
  <si>
    <t>standard deviation</t>
  </si>
  <si>
    <t>CI width</t>
  </si>
  <si>
    <t>CI lower</t>
  </si>
  <si>
    <t>CI upper</t>
  </si>
  <si>
    <t>LCL Validation</t>
  </si>
  <si>
    <t>UCL Validation</t>
  </si>
  <si>
    <t>Tx Live</t>
  </si>
  <si>
    <t>Tx Cadaver</t>
  </si>
  <si>
    <t>Total prevalence at year end broken down by activity (Current Scenario)</t>
  </si>
  <si>
    <t>Total prevalence at year end (Current Scenario)</t>
  </si>
  <si>
    <t>Total average prevalence at year end (Data Table)</t>
  </si>
  <si>
    <t>Total combined cost of KRT and intervention/s (Current Scenario)</t>
  </si>
  <si>
    <t>Total mortality from KRT (Current Scenario)</t>
  </si>
  <si>
    <t>Transplant</t>
  </si>
  <si>
    <t>Average</t>
  </si>
  <si>
    <t>LCL</t>
  </si>
  <si>
    <t>UCL</t>
  </si>
  <si>
    <t>Std dev</t>
  </si>
  <si>
    <t>Total combined cost (in millions) of KRT and intervention/s if any (Data Table)</t>
  </si>
  <si>
    <t>Fictional Region</t>
  </si>
  <si>
    <t>Fictional Centre</t>
  </si>
  <si>
    <r>
      <t xml:space="preserve">Renal Model: </t>
    </r>
    <r>
      <rPr>
        <b/>
        <sz val="24"/>
        <color rgb="FF5881C1"/>
        <rFont val="Segoe UI"/>
        <family val="2"/>
      </rPr>
      <t>Results</t>
    </r>
  </si>
  <si>
    <t>This tab info/directions:</t>
  </si>
  <si>
    <t xml:space="preserve">To generate results after designing and saving a scenario in the input file you will need to 1. Clone the latest version of the renal capacity model 2. Run the </t>
  </si>
  <si>
    <t xml:space="preserve">model using the instructions provided with the model. At the end of the simulation the results will automatically populate this document and produce the results. </t>
  </si>
  <si>
    <t xml:space="preserve">Below we display a selection of results. </t>
  </si>
  <si>
    <t>Total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</si>
</sst>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rgb="FF000000"/>
      <name val="Segoe UI"/>
      <family val="2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b/>
      <i/>
      <sz val="11"/>
      <color theme="1"/>
      <name val="Segoe UI"/>
      <family val="2"/>
    </font>
    <font>
      <b/>
      <sz val="11"/>
      <name val="Aptos Narrow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24"/>
      <color rgb="FF000000"/>
      <name val="Segoe UI"/>
      <family val="2"/>
    </font>
    <font>
      <b/>
      <sz val="24"/>
      <color rgb="FF5881C1"/>
      <name val="Segoe UI"/>
      <family val="2"/>
    </font>
    <font>
      <b/>
      <sz val="16"/>
      <color rgb="FF000000"/>
      <name val="Segoe UI"/>
      <family val="2"/>
    </font>
    <font>
      <sz val="16"/>
      <color rgb="FF000000"/>
      <name val="Segoe UI"/>
      <family val="2"/>
    </font>
    <font>
      <sz val="16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center"/>
    </xf>
    <xf numFmtId="0" fontId="4" fillId="2" borderId="1" xfId="0" applyFont="1" applyFill="1" applyBorder="1"/>
    <xf numFmtId="0" fontId="1" fillId="0" borderId="1" xfId="0" applyFont="1" applyBorder="1"/>
    <xf numFmtId="0" fontId="5" fillId="2" borderId="1" xfId="0" applyFont="1" applyFill="1" applyBorder="1"/>
    <xf numFmtId="0" fontId="6" fillId="0" borderId="0" xfId="0" applyFont="1"/>
    <xf numFmtId="0" fontId="5" fillId="2" borderId="0" xfId="0" applyFont="1" applyFill="1"/>
    <xf numFmtId="0" fontId="7" fillId="0" borderId="0" xfId="0" applyFont="1"/>
    <xf numFmtId="0" fontId="3" fillId="2" borderId="3" xfId="0" applyFont="1" applyFill="1" applyBorder="1"/>
    <xf numFmtId="0" fontId="4" fillId="0" borderId="0" xfId="0" applyFont="1"/>
    <xf numFmtId="164" fontId="4" fillId="2" borderId="0" xfId="0" applyNumberFormat="1" applyFont="1" applyFill="1"/>
    <xf numFmtId="0" fontId="4" fillId="2" borderId="4" xfId="0" applyFont="1" applyFill="1" applyBorder="1"/>
    <xf numFmtId="0" fontId="2" fillId="2" borderId="0" xfId="0" applyFont="1" applyFill="1"/>
    <xf numFmtId="0" fontId="8" fillId="0" borderId="0" xfId="0" applyFont="1"/>
    <xf numFmtId="2" fontId="4" fillId="2" borderId="4" xfId="0" applyNumberFormat="1" applyFont="1" applyFill="1" applyBorder="1"/>
    <xf numFmtId="2" fontId="4" fillId="2" borderId="0" xfId="0" applyNumberFormat="1" applyFont="1" applyFill="1"/>
    <xf numFmtId="0" fontId="8" fillId="3" borderId="0" xfId="0" applyFont="1" applyFill="1"/>
    <xf numFmtId="0" fontId="4" fillId="3" borderId="0" xfId="0" applyFont="1" applyFill="1"/>
    <xf numFmtId="0" fontId="0" fillId="4" borderId="0" xfId="0" applyFill="1"/>
    <xf numFmtId="0" fontId="9" fillId="0" borderId="6" xfId="0" applyFont="1" applyBorder="1" applyAlignment="1">
      <alignment horizontal="center" vertical="top"/>
    </xf>
    <xf numFmtId="0" fontId="1" fillId="5" borderId="0" xfId="0" applyFont="1" applyFill="1"/>
    <xf numFmtId="0" fontId="1" fillId="0" borderId="0" xfId="0" applyFont="1"/>
    <xf numFmtId="0" fontId="10" fillId="0" borderId="0" xfId="0" applyFont="1"/>
    <xf numFmtId="164" fontId="4" fillId="2" borderId="1" xfId="0" applyNumberFormat="1" applyFont="1" applyFill="1" applyBorder="1"/>
    <xf numFmtId="0" fontId="4" fillId="5" borderId="0" xfId="0" applyFont="1" applyFill="1"/>
    <xf numFmtId="0" fontId="3" fillId="0" borderId="0" xfId="0" applyFont="1"/>
    <xf numFmtId="164" fontId="4" fillId="0" borderId="0" xfId="0" applyNumberFormat="1" applyFont="1"/>
    <xf numFmtId="0" fontId="11" fillId="0" borderId="6" xfId="0" applyFont="1" applyBorder="1" applyAlignment="1">
      <alignment horizontal="center" vertical="top"/>
    </xf>
    <xf numFmtId="0" fontId="12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/>
    <xf numFmtId="0" fontId="4" fillId="0" borderId="2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</a:t>
            </a:r>
            <a:r>
              <a:rPr lang="en-GB" baseline="0"/>
              <a:t>of patients on home dialysis at year end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F9BF07"/>
              </a:solidFill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0.11864215214857381</c:v>
                </c:pt>
                <c:pt idx="1">
                  <c:v>0.13593785890026791</c:v>
                </c:pt>
                <c:pt idx="2">
                  <c:v>0.1720442931130719</c:v>
                </c:pt>
                <c:pt idx="3">
                  <c:v>0.24951738779917129</c:v>
                </c:pt>
                <c:pt idx="4">
                  <c:v>0.17354370328567581</c:v>
                </c:pt>
                <c:pt idx="5">
                  <c:v>0.20845596395653571</c:v>
                </c:pt>
                <c:pt idx="6">
                  <c:v>0.21664480062028829</c:v>
                </c:pt>
                <c:pt idx="7">
                  <c:v>0.26110375877661468</c:v>
                </c:pt>
                <c:pt idx="8">
                  <c:v>0.17985114086892109</c:v>
                </c:pt>
                <c:pt idx="9">
                  <c:v>0.20201749073550951</c:v>
                </c:pt>
                <c:pt idx="10">
                  <c:v>0.2292399373546945</c:v>
                </c:pt>
                <c:pt idx="11">
                  <c:v>0.17905438753130801</c:v>
                </c:pt>
                <c:pt idx="12">
                  <c:v>0.19271939015215661</c:v>
                </c:pt>
              </c:numLit>
            </c:plus>
            <c:minus>
              <c:numLit>
                <c:formatCode>General</c:formatCode>
                <c:ptCount val="13"/>
                <c:pt idx="0">
                  <c:v>0.11864215214857381</c:v>
                </c:pt>
                <c:pt idx="1">
                  <c:v>0.13593785890026791</c:v>
                </c:pt>
                <c:pt idx="2">
                  <c:v>0.1720442931130719</c:v>
                </c:pt>
                <c:pt idx="3">
                  <c:v>0.24951738779917129</c:v>
                </c:pt>
                <c:pt idx="4">
                  <c:v>0.17354370328567581</c:v>
                </c:pt>
                <c:pt idx="5">
                  <c:v>0.20845596395653571</c:v>
                </c:pt>
                <c:pt idx="6">
                  <c:v>0.21664480062028829</c:v>
                </c:pt>
                <c:pt idx="7">
                  <c:v>0.26110375877661468</c:v>
                </c:pt>
                <c:pt idx="8">
                  <c:v>0.17985114086892109</c:v>
                </c:pt>
                <c:pt idx="9">
                  <c:v>0.20201749073550951</c:v>
                </c:pt>
                <c:pt idx="10">
                  <c:v>0.2292399373546945</c:v>
                </c:pt>
                <c:pt idx="11">
                  <c:v>0.17905438753130801</c:v>
                </c:pt>
                <c:pt idx="12">
                  <c:v>0.19271939015215661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21.079257500000001</c:v>
              </c:pt>
              <c:pt idx="1">
                <c:v>22.702522999999999</c:v>
              </c:pt>
              <c:pt idx="2">
                <c:v>22.999691500000001</c:v>
              </c:pt>
              <c:pt idx="3">
                <c:v>23.132489</c:v>
              </c:pt>
              <c:pt idx="4">
                <c:v>23.415098</c:v>
              </c:pt>
              <c:pt idx="5">
                <c:v>23.373422999999999</c:v>
              </c:pt>
              <c:pt idx="6">
                <c:v>23.384957499999999</c:v>
              </c:pt>
              <c:pt idx="7">
                <c:v>23.524307499999999</c:v>
              </c:pt>
              <c:pt idx="8">
                <c:v>23.557358999999991</c:v>
              </c:pt>
              <c:pt idx="9">
                <c:v>23.690861999999999</c:v>
              </c:pt>
              <c:pt idx="10">
                <c:v>23.793656500000001</c:v>
              </c:pt>
              <c:pt idx="11">
                <c:v>23.716975000000001</c:v>
              </c:pt>
              <c:pt idx="12">
                <c:v>23.750286500000009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9B-4D70-99A0-9DD40FBD6B65}"/>
            </c:ext>
          </c:extLst>
        </c:ser>
        <c:ser>
          <c:idx val="1"/>
          <c:order val="1"/>
          <c:tx>
            <c:strRef>
              <c:f>{"Default"}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rgbClr val="5881C1"/>
              </a:solidFill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0.2180530077735808</c:v>
                </c:pt>
                <c:pt idx="1">
                  <c:v>0.32732769018246349</c:v>
                </c:pt>
                <c:pt idx="2">
                  <c:v>0.38590193832381647</c:v>
                </c:pt>
                <c:pt idx="3">
                  <c:v>0.35947205354168338</c:v>
                </c:pt>
                <c:pt idx="4">
                  <c:v>0.3568502897702524</c:v>
                </c:pt>
                <c:pt idx="5">
                  <c:v>0.35783964643306548</c:v>
                </c:pt>
                <c:pt idx="6">
                  <c:v>0.25607397772650009</c:v>
                </c:pt>
                <c:pt idx="7">
                  <c:v>0.35845307164387108</c:v>
                </c:pt>
                <c:pt idx="8">
                  <c:v>0.34776216586725262</c:v>
                </c:pt>
                <c:pt idx="9">
                  <c:v>0.32814557416000723</c:v>
                </c:pt>
                <c:pt idx="10">
                  <c:v>0.32641753497029108</c:v>
                </c:pt>
                <c:pt idx="11">
                  <c:v>0.36285580294766562</c:v>
                </c:pt>
                <c:pt idx="12">
                  <c:v>0.34272807162225583</c:v>
                </c:pt>
              </c:numLit>
            </c:plus>
            <c:minus>
              <c:numLit>
                <c:formatCode>General</c:formatCode>
                <c:ptCount val="13"/>
                <c:pt idx="0">
                  <c:v>0.2180530077735808</c:v>
                </c:pt>
                <c:pt idx="1">
                  <c:v>0.32732769018246349</c:v>
                </c:pt>
                <c:pt idx="2">
                  <c:v>0.38590193832381647</c:v>
                </c:pt>
                <c:pt idx="3">
                  <c:v>0.35947205354168338</c:v>
                </c:pt>
                <c:pt idx="4">
                  <c:v>0.3568502897702524</c:v>
                </c:pt>
                <c:pt idx="5">
                  <c:v>0.35783964643306548</c:v>
                </c:pt>
                <c:pt idx="6">
                  <c:v>0.25607397772650009</c:v>
                </c:pt>
                <c:pt idx="7">
                  <c:v>0.35845307164387108</c:v>
                </c:pt>
                <c:pt idx="8">
                  <c:v>0.34776216586725262</c:v>
                </c:pt>
                <c:pt idx="9">
                  <c:v>0.32814557416000723</c:v>
                </c:pt>
                <c:pt idx="10">
                  <c:v>0.32641753497029108</c:v>
                </c:pt>
                <c:pt idx="11">
                  <c:v>0.36285580294766562</c:v>
                </c:pt>
                <c:pt idx="12">
                  <c:v>0.34272807162225583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18.978104500000001</c:v>
              </c:pt>
              <c:pt idx="1">
                <c:v>19.830760000000001</c:v>
              </c:pt>
              <c:pt idx="2">
                <c:v>20.036286</c:v>
              </c:pt>
              <c:pt idx="3">
                <c:v>20.552664</c:v>
              </c:pt>
              <c:pt idx="4">
                <c:v>20.013057499999999</c:v>
              </c:pt>
              <c:pt idx="5">
                <c:v>20.306761000000002</c:v>
              </c:pt>
              <c:pt idx="6">
                <c:v>20.685413</c:v>
              </c:pt>
              <c:pt idx="7">
                <c:v>20.391608999999999</c:v>
              </c:pt>
              <c:pt idx="8">
                <c:v>20.393045499999989</c:v>
              </c:pt>
              <c:pt idx="9">
                <c:v>20.382131000000001</c:v>
              </c:pt>
              <c:pt idx="10">
                <c:v>20.436215999999991</c:v>
              </c:pt>
              <c:pt idx="11">
                <c:v>20.337009999999999</c:v>
              </c:pt>
              <c:pt idx="12">
                <c:v>20.381086499999999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9B-4D70-99A0-9DD40FBD6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184815"/>
        <c:axId val="301185295"/>
      </c:lineChart>
      <c:catAx>
        <c:axId val="30118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85295"/>
        <c:crosses val="autoZero"/>
        <c:auto val="1"/>
        <c:lblAlgn val="ctr"/>
        <c:lblOffset val="100"/>
        <c:noMultiLvlLbl val="0"/>
      </c:catAx>
      <c:valAx>
        <c:axId val="30118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8481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Total mortality of KRT patients - </a:t>
            </a:r>
            <a:r>
              <a:rPr lang="en-GB" baseline="0"/>
              <a:t>by activity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ICHD</c:v>
          </c:tx>
          <c:spPr>
            <a:solidFill>
              <a:srgbClr val="F9BF07"/>
            </a:solidFill>
            <a:ln>
              <a:noFill/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0-43CE-AA2A-E253DA164471}"/>
            </c:ext>
          </c:extLst>
        </c:ser>
        <c:ser>
          <c:idx val="1"/>
          <c:order val="1"/>
          <c:tx>
            <c:strRef>
              <c:f>{"HHD"}</c:f>
              <c:strCache>
                <c:ptCount val="1"/>
                <c:pt idx="0">
                  <c:v>HHD</c:v>
                </c:pt>
              </c:strCache>
            </c:strRef>
          </c:tx>
          <c:spPr>
            <a:solidFill>
              <a:srgbClr val="686F73"/>
            </a:solidFill>
            <a:ln>
              <a:noFill/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0-43CE-AA2A-E253DA164471}"/>
            </c:ext>
          </c:extLst>
        </c:ser>
        <c:ser>
          <c:idx val="2"/>
          <c:order val="2"/>
          <c:tx>
            <c:strRef>
              <c:f>{"PD"}</c:f>
              <c:strCache>
                <c:ptCount val="1"/>
                <c:pt idx="0">
                  <c:v>PD</c:v>
                </c:pt>
              </c:strCache>
            </c:strRef>
          </c:tx>
          <c:spPr>
            <a:solidFill>
              <a:srgbClr val="EC6555"/>
            </a:solidFill>
            <a:ln>
              <a:noFill/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10-43CE-AA2A-E253DA164471}"/>
            </c:ext>
          </c:extLst>
        </c:ser>
        <c:ser>
          <c:idx val="3"/>
          <c:order val="3"/>
          <c:tx>
            <c:strRef>
              <c:f>{"Tx_Live"}</c:f>
              <c:strCache>
                <c:ptCount val="1"/>
                <c:pt idx="0">
                  <c:v>Tx_Live</c:v>
                </c:pt>
              </c:strCache>
            </c:strRef>
          </c:tx>
          <c:spPr>
            <a:solidFill>
              <a:srgbClr val="5881C1"/>
            </a:solidFill>
            <a:ln>
              <a:noFill/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10-43CE-AA2A-E253DA164471}"/>
            </c:ext>
          </c:extLst>
        </c:ser>
        <c:ser>
          <c:idx val="4"/>
          <c:order val="4"/>
          <c:tx>
            <c:strRef>
              <c:f>{"Tx_Cadav"}</c:f>
              <c:strCache>
                <c:ptCount val="1"/>
                <c:pt idx="0">
                  <c:v>Tx_Cadav</c:v>
                </c:pt>
              </c:strCache>
            </c:strRef>
          </c:tx>
          <c:spPr>
            <a:solidFill>
              <a:srgbClr val="2C2825"/>
            </a:solidFill>
            <a:ln>
              <a:noFill/>
              <a:prstDash val="solid"/>
            </a:ln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10-43CE-AA2A-E253DA164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676397488"/>
        <c:axId val="1570692672"/>
      </c:barChart>
      <c:catAx>
        <c:axId val="167639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692672"/>
        <c:crosses val="autoZero"/>
        <c:auto val="1"/>
        <c:lblAlgn val="ctr"/>
        <c:lblOffset val="100"/>
        <c:noMultiLvlLbl val="0"/>
      </c:catAx>
      <c:valAx>
        <c:axId val="15706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97488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Total Cost of KRT (£ millions) -  by activity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ICHD</c:v>
          </c:tx>
          <c:spPr>
            <a:solidFill>
              <a:srgbClr val="F9BF07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292.75640455500002</c:v>
              </c:pt>
              <c:pt idx="1">
                <c:v>297.6580069785</c:v>
              </c:pt>
              <c:pt idx="2">
                <c:v>305.33846763600008</c:v>
              </c:pt>
              <c:pt idx="3">
                <c:v>310.7745373904998</c:v>
              </c:pt>
              <c:pt idx="4">
                <c:v>312.69004915949972</c:v>
              </c:pt>
              <c:pt idx="5">
                <c:v>315.97936561799929</c:v>
              </c:pt>
              <c:pt idx="6">
                <c:v>321.79028389650091</c:v>
              </c:pt>
              <c:pt idx="7">
                <c:v>327.484488131999</c:v>
              </c:pt>
              <c:pt idx="8">
                <c:v>332.88373072350117</c:v>
              </c:pt>
              <c:pt idx="9">
                <c:v>338.32773751499889</c:v>
              </c:pt>
              <c:pt idx="10">
                <c:v>343.31909215950111</c:v>
              </c:pt>
              <c:pt idx="11">
                <c:v>348.99397892099898</c:v>
              </c:pt>
              <c:pt idx="12">
                <c:v>354.17718259649899</c:v>
              </c:pt>
            </c:numLit>
          </c:val>
          <c:extLst>
            <c:ext xmlns:c16="http://schemas.microsoft.com/office/drawing/2014/chart" uri="{C3380CC4-5D6E-409C-BE32-E72D297353CC}">
              <c16:uniqueId val="{00000000-C6FC-4366-B364-EDE6E2BC418F}"/>
            </c:ext>
          </c:extLst>
        </c:ser>
        <c:ser>
          <c:idx val="1"/>
          <c:order val="1"/>
          <c:tx>
            <c:v>HHD</c:v>
          </c:tx>
          <c:spPr>
            <a:solidFill>
              <a:srgbClr val="686F73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16.023606317999999</c:v>
              </c:pt>
              <c:pt idx="1">
                <c:v>18.923114431999998</c:v>
              </c:pt>
              <c:pt idx="2">
                <c:v>20.770442804999991</c:v>
              </c:pt>
              <c:pt idx="3">
                <c:v>21.924250082</c:v>
              </c:pt>
              <c:pt idx="4">
                <c:v>22.987697649999991</c:v>
              </c:pt>
              <c:pt idx="5">
                <c:v>23.829045073</c:v>
              </c:pt>
              <c:pt idx="6">
                <c:v>24.475057817000032</c:v>
              </c:pt>
              <c:pt idx="7">
                <c:v>25.32640552400002</c:v>
              </c:pt>
              <c:pt idx="8">
                <c:v>26.155098525999989</c:v>
              </c:pt>
              <c:pt idx="9">
                <c:v>27.258050016999992</c:v>
              </c:pt>
              <c:pt idx="10">
                <c:v>28.126737151999979</c:v>
              </c:pt>
              <c:pt idx="11">
                <c:v>29.102927340000061</c:v>
              </c:pt>
              <c:pt idx="12">
                <c:v>29.318325613999431</c:v>
              </c:pt>
            </c:numLit>
          </c:val>
          <c:extLst>
            <c:ext xmlns:c16="http://schemas.microsoft.com/office/drawing/2014/chart" uri="{C3380CC4-5D6E-409C-BE32-E72D297353CC}">
              <c16:uniqueId val="{00000001-C6FC-4366-B364-EDE6E2BC418F}"/>
            </c:ext>
          </c:extLst>
        </c:ser>
        <c:ser>
          <c:idx val="2"/>
          <c:order val="2"/>
          <c:tx>
            <c:v>PD</c:v>
          </c:tx>
          <c:spPr>
            <a:solidFill>
              <a:srgbClr val="EC6555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35.482239776000007</c:v>
              </c:pt>
              <c:pt idx="1">
                <c:v>38.339605239999997</c:v>
              </c:pt>
              <c:pt idx="2">
                <c:v>41.211664011999993</c:v>
              </c:pt>
              <c:pt idx="3">
                <c:v>41.865929012000016</c:v>
              </c:pt>
              <c:pt idx="4">
                <c:v>41.752035639999988</c:v>
              </c:pt>
              <c:pt idx="5">
                <c:v>42.325096236000029</c:v>
              </c:pt>
              <c:pt idx="6">
                <c:v>42.72537691200003</c:v>
              </c:pt>
              <c:pt idx="7">
                <c:v>43.283781972</c:v>
              </c:pt>
              <c:pt idx="8">
                <c:v>43.98122036799991</c:v>
              </c:pt>
              <c:pt idx="9">
                <c:v>44.529346048000043</c:v>
              </c:pt>
              <c:pt idx="10">
                <c:v>45.085053108000039</c:v>
              </c:pt>
              <c:pt idx="11">
                <c:v>45.952648967999927</c:v>
              </c:pt>
              <c:pt idx="12">
                <c:v>46.481786124000131</c:v>
              </c:pt>
            </c:numLit>
          </c:val>
          <c:extLst>
            <c:ext xmlns:c16="http://schemas.microsoft.com/office/drawing/2014/chart" uri="{C3380CC4-5D6E-409C-BE32-E72D297353CC}">
              <c16:uniqueId val="{00000002-C6FC-4366-B364-EDE6E2BC418F}"/>
            </c:ext>
          </c:extLst>
        </c:ser>
        <c:ser>
          <c:idx val="3"/>
          <c:order val="3"/>
          <c:tx>
            <c:v>Tx</c:v>
          </c:tx>
          <c:spPr>
            <a:solidFill>
              <a:srgbClr val="5881C1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46.158595038500003</c:v>
              </c:pt>
              <c:pt idx="1">
                <c:v>47.274082392999993</c:v>
              </c:pt>
              <c:pt idx="2">
                <c:v>48.391943001500039</c:v>
              </c:pt>
              <c:pt idx="3">
                <c:v>49.664860727499963</c:v>
              </c:pt>
              <c:pt idx="4">
                <c:v>50.83032580149996</c:v>
              </c:pt>
              <c:pt idx="5">
                <c:v>52.149619427000097</c:v>
              </c:pt>
              <c:pt idx="6">
                <c:v>53.293995351499923</c:v>
              </c:pt>
              <c:pt idx="7">
                <c:v>54.863263919499992</c:v>
              </c:pt>
              <c:pt idx="8">
                <c:v>56.585576533000051</c:v>
              </c:pt>
              <c:pt idx="9">
                <c:v>58.28060906049997</c:v>
              </c:pt>
              <c:pt idx="10">
                <c:v>60.168126796000116</c:v>
              </c:pt>
              <c:pt idx="11">
                <c:v>61.986809063999772</c:v>
              </c:pt>
              <c:pt idx="12">
                <c:v>63.813100793500062</c:v>
              </c:pt>
            </c:numLit>
          </c:val>
          <c:extLst>
            <c:ext xmlns:c16="http://schemas.microsoft.com/office/drawing/2014/chart" uri="{C3380CC4-5D6E-409C-BE32-E72D297353CC}">
              <c16:uniqueId val="{00000003-C6FC-4366-B364-EDE6E2BC4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450190719"/>
        <c:axId val="450187359"/>
      </c:barChart>
      <c:catAx>
        <c:axId val="45019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87359"/>
        <c:crosses val="autoZero"/>
        <c:auto val="1"/>
        <c:lblAlgn val="ctr"/>
        <c:lblOffset val="100"/>
        <c:noMultiLvlLbl val="0"/>
      </c:catAx>
      <c:valAx>
        <c:axId val="45018735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190719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of KRT (£ millions) -  by activity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ICHD</c:v>
          </c:tx>
          <c:spPr>
            <a:solidFill>
              <a:srgbClr val="F9BF07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92.772487399500008</c:v>
              </c:pt>
              <c:pt idx="1">
                <c:v>95.734870244999939</c:v>
              </c:pt>
              <c:pt idx="2">
                <c:v>100.61204174550009</c:v>
              </c:pt>
              <c:pt idx="3">
                <c:v>104.49571486949991</c:v>
              </c:pt>
              <c:pt idx="4">
                <c:v>110.0975585085002</c:v>
              </c:pt>
              <c:pt idx="5">
                <c:v>115.7094913094997</c:v>
              </c:pt>
              <c:pt idx="6">
                <c:v>120.4499512214999</c:v>
              </c:pt>
              <c:pt idx="7">
                <c:v>125.31100761</c:v>
              </c:pt>
              <c:pt idx="8">
                <c:v>130.65525049500019</c:v>
              </c:pt>
              <c:pt idx="9">
                <c:v>136.2762824805007</c:v>
              </c:pt>
              <c:pt idx="10">
                <c:v>140.76391074750089</c:v>
              </c:pt>
              <c:pt idx="11">
                <c:v>145.39772856149909</c:v>
              </c:pt>
              <c:pt idx="12">
                <c:v>148.9967099819994</c:v>
              </c:pt>
            </c:numLit>
          </c:val>
          <c:extLst>
            <c:ext xmlns:c16="http://schemas.microsoft.com/office/drawing/2014/chart" uri="{C3380CC4-5D6E-409C-BE32-E72D297353CC}">
              <c16:uniqueId val="{00000000-5447-4A9A-A73A-B90955F6231F}"/>
            </c:ext>
          </c:extLst>
        </c:ser>
        <c:ser>
          <c:idx val="1"/>
          <c:order val="1"/>
          <c:tx>
            <c:v>HHD</c:v>
          </c:tx>
          <c:spPr>
            <a:solidFill>
              <a:srgbClr val="686F73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3.4742793390000002</c:v>
              </c:pt>
              <c:pt idx="1">
                <c:v>4.3445421489999996</c:v>
              </c:pt>
              <c:pt idx="2">
                <c:v>5.052146278000003</c:v>
              </c:pt>
              <c:pt idx="3">
                <c:v>5.6011394600000006</c:v>
              </c:pt>
              <c:pt idx="4">
                <c:v>6.0640167509999907</c:v>
              </c:pt>
              <c:pt idx="5">
                <c:v>6.5550811170000074</c:v>
              </c:pt>
              <c:pt idx="6">
                <c:v>7.1338720639999993</c:v>
              </c:pt>
              <c:pt idx="7">
                <c:v>7.6573112990000034</c:v>
              </c:pt>
              <c:pt idx="8">
                <c:v>7.9729225029999986</c:v>
              </c:pt>
              <c:pt idx="9">
                <c:v>8.4425716949999856</c:v>
              </c:pt>
              <c:pt idx="10">
                <c:v>8.851756985000014</c:v>
              </c:pt>
              <c:pt idx="11">
                <c:v>9.2693528779999905</c:v>
              </c:pt>
              <c:pt idx="12">
                <c:v>9.4834766060000213</c:v>
              </c:pt>
            </c:numLit>
          </c:val>
          <c:extLst>
            <c:ext xmlns:c16="http://schemas.microsoft.com/office/drawing/2014/chart" uri="{C3380CC4-5D6E-409C-BE32-E72D297353CC}">
              <c16:uniqueId val="{00000001-5447-4A9A-A73A-B90955F6231F}"/>
            </c:ext>
          </c:extLst>
        </c:ser>
        <c:ser>
          <c:idx val="2"/>
          <c:order val="2"/>
          <c:tx>
            <c:v>PD</c:v>
          </c:tx>
          <c:spPr>
            <a:solidFill>
              <a:srgbClr val="EC6555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10.845657824</c:v>
              </c:pt>
              <c:pt idx="1">
                <c:v>11.456976060000001</c:v>
              </c:pt>
              <c:pt idx="2">
                <c:v>11.666977588</c:v>
              </c:pt>
              <c:pt idx="3">
                <c:v>12.365991616000001</c:v>
              </c:pt>
              <c:pt idx="4">
                <c:v>12.900967244</c:v>
              </c:pt>
              <c:pt idx="5">
                <c:v>13.358353788000031</c:v>
              </c:pt>
              <c:pt idx="6">
                <c:v>14.061225955999969</c:v>
              </c:pt>
              <c:pt idx="7">
                <c:v>14.48104554800001</c:v>
              </c:pt>
              <c:pt idx="8">
                <c:v>14.83518502799998</c:v>
              </c:pt>
              <c:pt idx="9">
                <c:v>15.18630274800001</c:v>
              </c:pt>
              <c:pt idx="10">
                <c:v>15.91334359999996</c:v>
              </c:pt>
              <c:pt idx="11">
                <c:v>16.193315060000032</c:v>
              </c:pt>
              <c:pt idx="12">
                <c:v>16.506121180000012</c:v>
              </c:pt>
            </c:numLit>
          </c:val>
          <c:extLst>
            <c:ext xmlns:c16="http://schemas.microsoft.com/office/drawing/2014/chart" uri="{C3380CC4-5D6E-409C-BE32-E72D297353CC}">
              <c16:uniqueId val="{00000002-5447-4A9A-A73A-B90955F6231F}"/>
            </c:ext>
          </c:extLst>
        </c:ser>
        <c:ser>
          <c:idx val="3"/>
          <c:order val="3"/>
          <c:tx>
            <c:v>Tx</c:v>
          </c:tx>
          <c:spPr>
            <a:solidFill>
              <a:srgbClr val="5881C1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12.2701388695</c:v>
              </c:pt>
              <c:pt idx="1">
                <c:v>12.5955953775</c:v>
              </c:pt>
              <c:pt idx="2">
                <c:v>13.138376083000001</c:v>
              </c:pt>
              <c:pt idx="3">
                <c:v>13.67247048150001</c:v>
              </c:pt>
              <c:pt idx="4">
                <c:v>14.25403366049998</c:v>
              </c:pt>
              <c:pt idx="5">
                <c:v>14.926166576999989</c:v>
              </c:pt>
              <c:pt idx="6">
                <c:v>15.573240941000011</c:v>
              </c:pt>
              <c:pt idx="7">
                <c:v>16.37855978650002</c:v>
              </c:pt>
              <c:pt idx="8">
                <c:v>17.07324478349997</c:v>
              </c:pt>
              <c:pt idx="9">
                <c:v>17.765628069500011</c:v>
              </c:pt>
              <c:pt idx="10">
                <c:v>18.567202009000031</c:v>
              </c:pt>
              <c:pt idx="11">
                <c:v>19.386155963499931</c:v>
              </c:pt>
              <c:pt idx="12">
                <c:v>20.107072571500002</c:v>
              </c:pt>
            </c:numLit>
          </c:val>
          <c:extLst>
            <c:ext xmlns:c16="http://schemas.microsoft.com/office/drawing/2014/chart" uri="{C3380CC4-5D6E-409C-BE32-E72D297353CC}">
              <c16:uniqueId val="{00000003-5447-4A9A-A73A-B90955F62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57890055"/>
        <c:axId val="157933063"/>
      </c:barChart>
      <c:catAx>
        <c:axId val="157890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33063"/>
        <c:crosses val="autoZero"/>
        <c:auto val="1"/>
        <c:lblAlgn val="ctr"/>
        <c:lblOffset val="100"/>
        <c:noMultiLvlLbl val="0"/>
      </c:catAx>
      <c:valAx>
        <c:axId val="157933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9005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of Tx that were pre-emptive</a:t>
            </a:r>
            <a:r>
              <a:rPr lang="en-GB" baseline="0"/>
              <a:t> by year</a:t>
            </a:r>
            <a:endParaRPr lang="en-GB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</c:v>
          </c:tx>
          <c:spPr>
            <a:ln w="28575" cap="rnd">
              <a:solidFill>
                <a:srgbClr val="F9BF07"/>
              </a:solidFill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0.66655756901697027</c:v>
                </c:pt>
                <c:pt idx="1">
                  <c:v>0.68422488828698869</c:v>
                </c:pt>
                <c:pt idx="2">
                  <c:v>0.76545912030334573</c:v>
                </c:pt>
                <c:pt idx="3">
                  <c:v>0.7367076222337906</c:v>
                </c:pt>
                <c:pt idx="4">
                  <c:v>0.62333917515008297</c:v>
                </c:pt>
                <c:pt idx="5">
                  <c:v>0.87598949827904093</c:v>
                </c:pt>
                <c:pt idx="6">
                  <c:v>0.57406714224945343</c:v>
                </c:pt>
                <c:pt idx="7">
                  <c:v>0.79919959192147649</c:v>
                </c:pt>
                <c:pt idx="8">
                  <c:v>0.72537317181811278</c:v>
                </c:pt>
                <c:pt idx="9">
                  <c:v>0.81480977298587975</c:v>
                </c:pt>
                <c:pt idx="10">
                  <c:v>0.63092578565690549</c:v>
                </c:pt>
                <c:pt idx="11">
                  <c:v>1.0872687847634559</c:v>
                </c:pt>
                <c:pt idx="12">
                  <c:v>0.58192603843755941</c:v>
                </c:pt>
              </c:numLit>
            </c:plus>
            <c:minus>
              <c:numLit>
                <c:formatCode>General</c:formatCode>
                <c:ptCount val="13"/>
                <c:pt idx="0">
                  <c:v>0.66655756901697027</c:v>
                </c:pt>
                <c:pt idx="1">
                  <c:v>0.68422488828698869</c:v>
                </c:pt>
                <c:pt idx="2">
                  <c:v>0.76545912030334573</c:v>
                </c:pt>
                <c:pt idx="3">
                  <c:v>0.7367076222337906</c:v>
                </c:pt>
                <c:pt idx="4">
                  <c:v>0.62333917515008297</c:v>
                </c:pt>
                <c:pt idx="5">
                  <c:v>0.87598949827904093</c:v>
                </c:pt>
                <c:pt idx="6">
                  <c:v>0.57406714224945343</c:v>
                </c:pt>
                <c:pt idx="7">
                  <c:v>0.79919959192147649</c:v>
                </c:pt>
                <c:pt idx="8">
                  <c:v>0.72537317181811278</c:v>
                </c:pt>
                <c:pt idx="9">
                  <c:v>0.81480977298587975</c:v>
                </c:pt>
                <c:pt idx="10">
                  <c:v>0.63092578565690549</c:v>
                </c:pt>
                <c:pt idx="11">
                  <c:v>1.0872687847634559</c:v>
                </c:pt>
                <c:pt idx="12">
                  <c:v>0.58192603843755941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28.62698</c:v>
              </c:pt>
              <c:pt idx="1">
                <c:v>32.212031000000003</c:v>
              </c:pt>
              <c:pt idx="2">
                <c:v>36.148660999999997</c:v>
              </c:pt>
              <c:pt idx="3">
                <c:v>35.924166</c:v>
              </c:pt>
              <c:pt idx="4">
                <c:v>36.745795999999999</c:v>
              </c:pt>
              <c:pt idx="5">
                <c:v>36.346734499999997</c:v>
              </c:pt>
              <c:pt idx="6">
                <c:v>35.888954499999997</c:v>
              </c:pt>
              <c:pt idx="7">
                <c:v>35.571120000000001</c:v>
              </c:pt>
              <c:pt idx="8">
                <c:v>35.325040500000007</c:v>
              </c:pt>
              <c:pt idx="9">
                <c:v>35.503583000000013</c:v>
              </c:pt>
              <c:pt idx="10">
                <c:v>34.880140500000003</c:v>
              </c:pt>
              <c:pt idx="11">
                <c:v>35.554553499999997</c:v>
              </c:pt>
              <c:pt idx="12">
                <c:v>34.610805499999998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46B-43DF-AD66-FF8603286E5A}"/>
            </c:ext>
          </c:extLst>
        </c:ser>
        <c:ser>
          <c:idx val="1"/>
          <c:order val="1"/>
          <c:tx>
            <c:strRef>
              <c:f>{"Default"}</c:f>
              <c:strCache>
                <c:ptCount val="1"/>
                <c:pt idx="0">
                  <c:v>Default</c:v>
                </c:pt>
              </c:strCache>
            </c:strRef>
          </c:tx>
          <c:spPr>
            <a:ln w="28575" cap="rnd">
              <a:solidFill>
                <a:srgbClr val="5881C1"/>
              </a:solidFill>
              <a:prstDash val="solid"/>
              <a:round/>
            </a:ln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3"/>
                <c:pt idx="0">
                  <c:v>1.2073404534757379</c:v>
                </c:pt>
                <c:pt idx="1">
                  <c:v>1.225186032482918</c:v>
                </c:pt>
                <c:pt idx="2">
                  <c:v>1.3312944468501251</c:v>
                </c:pt>
                <c:pt idx="3">
                  <c:v>1.3847125169715</c:v>
                </c:pt>
                <c:pt idx="4">
                  <c:v>1.521508668411006</c:v>
                </c:pt>
                <c:pt idx="5">
                  <c:v>1.9136346008289551</c:v>
                </c:pt>
                <c:pt idx="6">
                  <c:v>1.7019848899767001</c:v>
                </c:pt>
                <c:pt idx="7">
                  <c:v>1.542376416058431</c:v>
                </c:pt>
                <c:pt idx="8">
                  <c:v>1.220263138917447</c:v>
                </c:pt>
                <c:pt idx="9">
                  <c:v>1.133780439097946</c:v>
                </c:pt>
                <c:pt idx="10">
                  <c:v>1.443180851706521</c:v>
                </c:pt>
                <c:pt idx="11">
                  <c:v>1.4642854886220791</c:v>
                </c:pt>
                <c:pt idx="12">
                  <c:v>1.363609997574267</c:v>
                </c:pt>
              </c:numLit>
            </c:plus>
            <c:minus>
              <c:numLit>
                <c:formatCode>General</c:formatCode>
                <c:ptCount val="13"/>
                <c:pt idx="0">
                  <c:v>1.2073404534757379</c:v>
                </c:pt>
                <c:pt idx="1">
                  <c:v>1.225186032482918</c:v>
                </c:pt>
                <c:pt idx="2">
                  <c:v>1.3312944468501251</c:v>
                </c:pt>
                <c:pt idx="3">
                  <c:v>1.3847125169715</c:v>
                </c:pt>
                <c:pt idx="4">
                  <c:v>1.521508668411006</c:v>
                </c:pt>
                <c:pt idx="5">
                  <c:v>1.9136346008289551</c:v>
                </c:pt>
                <c:pt idx="6">
                  <c:v>1.7019848899767001</c:v>
                </c:pt>
                <c:pt idx="7">
                  <c:v>1.542376416058431</c:v>
                </c:pt>
                <c:pt idx="8">
                  <c:v>1.220263138917447</c:v>
                </c:pt>
                <c:pt idx="9">
                  <c:v>1.133780439097946</c:v>
                </c:pt>
                <c:pt idx="10">
                  <c:v>1.443180851706521</c:v>
                </c:pt>
                <c:pt idx="11">
                  <c:v>1.4642854886220791</c:v>
                </c:pt>
                <c:pt idx="12">
                  <c:v>1.363609997574267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olid"/>
                <a:round/>
              </a:ln>
            </c:spPr>
          </c:errBars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36.176096499999993</c:v>
              </c:pt>
              <c:pt idx="1">
                <c:v>37.150723999999997</c:v>
              </c:pt>
              <c:pt idx="2">
                <c:v>38.724394500000002</c:v>
              </c:pt>
              <c:pt idx="3">
                <c:v>43.401255000000013</c:v>
              </c:pt>
              <c:pt idx="4">
                <c:v>40.945028500000006</c:v>
              </c:pt>
              <c:pt idx="5">
                <c:v>40.003747500000003</c:v>
              </c:pt>
              <c:pt idx="6">
                <c:v>37.920008999999993</c:v>
              </c:pt>
              <c:pt idx="7">
                <c:v>39.332468499999997</c:v>
              </c:pt>
              <c:pt idx="8">
                <c:v>37.466628999999998</c:v>
              </c:pt>
              <c:pt idx="9">
                <c:v>38.154811500000001</c:v>
              </c:pt>
              <c:pt idx="10">
                <c:v>36.402461499999987</c:v>
              </c:pt>
              <c:pt idx="11">
                <c:v>36.883852500000003</c:v>
              </c:pt>
              <c:pt idx="12">
                <c:v>36.898231000000003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46B-43DF-AD66-FF8603286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175215"/>
        <c:axId val="301190095"/>
      </c:lineChart>
      <c:catAx>
        <c:axId val="30117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90095"/>
        <c:crosses val="autoZero"/>
        <c:auto val="1"/>
        <c:lblAlgn val="ctr"/>
        <c:lblOffset val="100"/>
        <c:noMultiLvlLbl val="0"/>
      </c:catAx>
      <c:valAx>
        <c:axId val="30119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175215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mortality of KRT patients - by activity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ICHD</c:v>
          </c:tx>
          <c:spPr>
            <a:solidFill>
              <a:srgbClr val="F9BF07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241.65</c:v>
              </c:pt>
              <c:pt idx="1">
                <c:v>247.3</c:v>
              </c:pt>
              <c:pt idx="2">
                <c:v>260.75</c:v>
              </c:pt>
              <c:pt idx="3">
                <c:v>260.05</c:v>
              </c:pt>
              <c:pt idx="4">
                <c:v>266.60000000000002</c:v>
              </c:pt>
              <c:pt idx="5">
                <c:v>265.5</c:v>
              </c:pt>
              <c:pt idx="6">
                <c:v>275.55</c:v>
              </c:pt>
              <c:pt idx="7">
                <c:v>283.2</c:v>
              </c:pt>
              <c:pt idx="8">
                <c:v>292.3</c:v>
              </c:pt>
              <c:pt idx="9">
                <c:v>290.60000000000002</c:v>
              </c:pt>
              <c:pt idx="10">
                <c:v>293.3</c:v>
              </c:pt>
              <c:pt idx="11">
                <c:v>300.39999999999998</c:v>
              </c:pt>
              <c:pt idx="12">
                <c:v>294.05</c:v>
              </c:pt>
            </c:numLit>
          </c:val>
          <c:extLst>
            <c:ext xmlns:c16="http://schemas.microsoft.com/office/drawing/2014/chart" uri="{C3380CC4-5D6E-409C-BE32-E72D297353CC}">
              <c16:uniqueId val="{00000000-7C6D-4815-A794-2D01851AE008}"/>
            </c:ext>
          </c:extLst>
        </c:ser>
        <c:ser>
          <c:idx val="2"/>
          <c:order val="1"/>
          <c:tx>
            <c:strRef>
              <c:f>{"HHD"}</c:f>
              <c:strCache>
                <c:ptCount val="1"/>
                <c:pt idx="0">
                  <c:v>HHD</c:v>
                </c:pt>
              </c:strCache>
            </c:strRef>
          </c:tx>
          <c:spPr>
            <a:solidFill>
              <a:srgbClr val="686F73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9.15</c:v>
              </c:pt>
              <c:pt idx="1">
                <c:v>8.15</c:v>
              </c:pt>
              <c:pt idx="2">
                <c:v>7.85</c:v>
              </c:pt>
              <c:pt idx="3">
                <c:v>7.05</c:v>
              </c:pt>
              <c:pt idx="4">
                <c:v>6.85</c:v>
              </c:pt>
              <c:pt idx="5">
                <c:v>6.9</c:v>
              </c:pt>
              <c:pt idx="6">
                <c:v>8.9</c:v>
              </c:pt>
              <c:pt idx="7">
                <c:v>8.6</c:v>
              </c:pt>
              <c:pt idx="8">
                <c:v>8.4</c:v>
              </c:pt>
              <c:pt idx="9">
                <c:v>9.6</c:v>
              </c:pt>
              <c:pt idx="10">
                <c:v>8.35</c:v>
              </c:pt>
              <c:pt idx="11">
                <c:v>8.4</c:v>
              </c:pt>
              <c:pt idx="12">
                <c:v>8.85</c:v>
              </c:pt>
            </c:numLit>
          </c:val>
          <c:extLst>
            <c:ext xmlns:c16="http://schemas.microsoft.com/office/drawing/2014/chart" uri="{C3380CC4-5D6E-409C-BE32-E72D297353CC}">
              <c16:uniqueId val="{00000001-7C6D-4815-A794-2D01851AE008}"/>
            </c:ext>
          </c:extLst>
        </c:ser>
        <c:ser>
          <c:idx val="3"/>
          <c:order val="2"/>
          <c:tx>
            <c:strRef>
              <c:f>{"PD"}</c:f>
              <c:strCache>
                <c:ptCount val="1"/>
                <c:pt idx="0">
                  <c:v>PD</c:v>
                </c:pt>
              </c:strCache>
            </c:strRef>
          </c:tx>
          <c:spPr>
            <a:solidFill>
              <a:srgbClr val="EC6555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38.25</c:v>
              </c:pt>
              <c:pt idx="1">
                <c:v>35.65</c:v>
              </c:pt>
              <c:pt idx="2">
                <c:v>33.9</c:v>
              </c:pt>
              <c:pt idx="3">
                <c:v>36.75</c:v>
              </c:pt>
              <c:pt idx="4">
                <c:v>35.049999999999997</c:v>
              </c:pt>
              <c:pt idx="5">
                <c:v>34.25</c:v>
              </c:pt>
              <c:pt idx="6">
                <c:v>37.549999999999997</c:v>
              </c:pt>
              <c:pt idx="7">
                <c:v>37.15</c:v>
              </c:pt>
              <c:pt idx="8">
                <c:v>40.4</c:v>
              </c:pt>
              <c:pt idx="9">
                <c:v>38.200000000000003</c:v>
              </c:pt>
              <c:pt idx="10">
                <c:v>39.65</c:v>
              </c:pt>
              <c:pt idx="11">
                <c:v>38.15</c:v>
              </c:pt>
              <c:pt idx="12">
                <c:v>38.75</c:v>
              </c:pt>
            </c:numLit>
          </c:val>
          <c:extLst>
            <c:ext xmlns:c16="http://schemas.microsoft.com/office/drawing/2014/chart" uri="{C3380CC4-5D6E-409C-BE32-E72D297353CC}">
              <c16:uniqueId val="{00000002-7C6D-4815-A794-2D01851AE008}"/>
            </c:ext>
          </c:extLst>
        </c:ser>
        <c:ser>
          <c:idx val="4"/>
          <c:order val="3"/>
          <c:tx>
            <c:strRef>
              <c:f>{"Tx_Live"}</c:f>
              <c:strCache>
                <c:ptCount val="1"/>
                <c:pt idx="0">
                  <c:v>Tx_Live</c:v>
                </c:pt>
              </c:strCache>
            </c:strRef>
          </c:tx>
          <c:spPr>
            <a:solidFill>
              <a:srgbClr val="5881C1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2.15</c:v>
              </c:pt>
              <c:pt idx="1">
                <c:v>7.75</c:v>
              </c:pt>
              <c:pt idx="2">
                <c:v>4.5999999999999996</c:v>
              </c:pt>
              <c:pt idx="3">
                <c:v>8.35</c:v>
              </c:pt>
              <c:pt idx="4">
                <c:v>5.95</c:v>
              </c:pt>
              <c:pt idx="5">
                <c:v>6.35</c:v>
              </c:pt>
              <c:pt idx="6">
                <c:v>5.35</c:v>
              </c:pt>
              <c:pt idx="7">
                <c:v>13.85</c:v>
              </c:pt>
              <c:pt idx="8">
                <c:v>6.45</c:v>
              </c:pt>
              <c:pt idx="9">
                <c:v>11.45</c:v>
              </c:pt>
              <c:pt idx="10">
                <c:v>11.25</c:v>
              </c:pt>
              <c:pt idx="11">
                <c:v>15.3</c:v>
              </c:pt>
              <c:pt idx="12">
                <c:v>5.95</c:v>
              </c:pt>
            </c:numLit>
          </c:val>
          <c:extLst>
            <c:ext xmlns:c16="http://schemas.microsoft.com/office/drawing/2014/chart" uri="{C3380CC4-5D6E-409C-BE32-E72D297353CC}">
              <c16:uniqueId val="{00000003-7C6D-4815-A794-2D01851AE008}"/>
            </c:ext>
          </c:extLst>
        </c:ser>
        <c:ser>
          <c:idx val="5"/>
          <c:order val="4"/>
          <c:tx>
            <c:strRef>
              <c:f>{"Tx_Cadav"}</c:f>
              <c:strCache>
                <c:ptCount val="1"/>
                <c:pt idx="0">
                  <c:v>Tx_Cadav</c:v>
                </c:pt>
              </c:strCache>
            </c:strRef>
          </c:tx>
          <c:spPr>
            <a:solidFill>
              <a:srgbClr val="2C2825"/>
            </a:solidFill>
            <a:ln>
              <a:noFill/>
              <a:prstDash val="solid"/>
            </a:ln>
          </c:spPr>
          <c:invertIfNegative val="0"/>
          <c:cat>
            <c:numLit>
              <c:formatCode>General</c:formatCode>
              <c:ptCount val="13"/>
              <c:pt idx="0">
                <c:v>2023</c:v>
              </c:pt>
              <c:pt idx="1">
                <c:v>2024</c:v>
              </c:pt>
              <c:pt idx="2">
                <c:v>2025</c:v>
              </c:pt>
              <c:pt idx="3">
                <c:v>2026</c:v>
              </c:pt>
              <c:pt idx="4">
                <c:v>2027</c:v>
              </c:pt>
              <c:pt idx="5">
                <c:v>2028</c:v>
              </c:pt>
              <c:pt idx="6">
                <c:v>2029</c:v>
              </c:pt>
              <c:pt idx="7">
                <c:v>2030</c:v>
              </c:pt>
              <c:pt idx="8">
                <c:v>2031</c:v>
              </c:pt>
              <c:pt idx="9">
                <c:v>2032</c:v>
              </c:pt>
              <c:pt idx="10">
                <c:v>2033</c:v>
              </c:pt>
              <c:pt idx="11">
                <c:v>2034</c:v>
              </c:pt>
              <c:pt idx="12">
                <c:v>2035</c:v>
              </c:pt>
            </c:numLit>
          </c:cat>
          <c:val>
            <c:numLit>
              <c:formatCode>General</c:formatCode>
              <c:ptCount val="13"/>
              <c:pt idx="0">
                <c:v>17.600000000000001</c:v>
              </c:pt>
              <c:pt idx="1">
                <c:v>16.8</c:v>
              </c:pt>
              <c:pt idx="2">
                <c:v>12.75</c:v>
              </c:pt>
              <c:pt idx="3">
                <c:v>16.850000000000001</c:v>
              </c:pt>
              <c:pt idx="4">
                <c:v>13.75</c:v>
              </c:pt>
              <c:pt idx="5">
                <c:v>21.55</c:v>
              </c:pt>
              <c:pt idx="6">
                <c:v>16.3</c:v>
              </c:pt>
              <c:pt idx="7">
                <c:v>21.45</c:v>
              </c:pt>
              <c:pt idx="8">
                <c:v>21.35</c:v>
              </c:pt>
              <c:pt idx="9">
                <c:v>22.05</c:v>
              </c:pt>
              <c:pt idx="10">
                <c:v>20.2</c:v>
              </c:pt>
              <c:pt idx="11">
                <c:v>26.05</c:v>
              </c:pt>
              <c:pt idx="12">
                <c:v>26.8</c:v>
              </c:pt>
            </c:numLit>
          </c:val>
          <c:extLst>
            <c:ext xmlns:c16="http://schemas.microsoft.com/office/drawing/2014/chart" uri="{C3380CC4-5D6E-409C-BE32-E72D297353CC}">
              <c16:uniqueId val="{00000004-7C6D-4815-A794-2D01851AE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962003463"/>
        <c:axId val="1962005511"/>
      </c:barChart>
      <c:catAx>
        <c:axId val="196200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05511"/>
        <c:crosses val="autoZero"/>
        <c:auto val="1"/>
        <c:lblAlgn val="ctr"/>
        <c:lblOffset val="100"/>
        <c:noMultiLvlLbl val="0"/>
      </c:catAx>
      <c:valAx>
        <c:axId val="1962005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03463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Incidence to ICHD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Stats'!$C$5:$P$5</c15:sqref>
                  </c15:fullRef>
                </c:ext>
              </c:extLst>
              <c:f>'Summary Stats'!$D$5:$P$5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32-4C81-87A5-885610BDFA40}"/>
            </c:ext>
          </c:extLst>
        </c:ser>
        <c:ser>
          <c:idx val="2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Stats'!$C$29:$P$29</c15:sqref>
                  </c15:fullRef>
                </c:ext>
              </c:extLst>
              <c:f>'Summary Stats'!$D$29:$P$29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32-4C81-87A5-885610BDFA40}"/>
            </c:ext>
          </c:extLst>
        </c:ser>
        <c:ser>
          <c:idx val="3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Stats'!$C$53:$P$53</c15:sqref>
                  </c15:fullRef>
                </c:ext>
              </c:extLst>
              <c:f>'Summary Stats'!$D$53:$P$53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32-4C81-87A5-885610BDF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577600"/>
        <c:axId val="1804566560"/>
      </c:lineChart>
      <c:catAx>
        <c:axId val="18045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6560"/>
        <c:crosses val="autoZero"/>
        <c:auto val="1"/>
        <c:lblAlgn val="ctr"/>
        <c:lblOffset val="100"/>
        <c:noMultiLvlLbl val="0"/>
      </c:catAx>
      <c:valAx>
        <c:axId val="180456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Incidence to HHD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Stats'!$C$6:$P$6</c15:sqref>
                  </c15:fullRef>
                </c:ext>
              </c:extLst>
              <c:f>'Summary Stats'!$D$6:$P$6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4-4BBE-A35B-416FE5912C6D}"/>
            </c:ext>
          </c:extLst>
        </c:ser>
        <c:ser>
          <c:idx val="2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Stats'!$C$30:$P$30</c15:sqref>
                  </c15:fullRef>
                </c:ext>
              </c:extLst>
              <c:f>'Summary Stats'!$D$30:$P$30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44-4BBE-A35B-416FE5912C6D}"/>
            </c:ext>
          </c:extLst>
        </c:ser>
        <c:ser>
          <c:idx val="3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Stats'!$C$54:$P$54</c15:sqref>
                  </c15:fullRef>
                </c:ext>
              </c:extLst>
              <c:f>'Summary Stats'!$D$54:$P$54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44-4BBE-A35B-416FE5912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572320"/>
        <c:axId val="1804579520"/>
      </c:lineChart>
      <c:catAx>
        <c:axId val="18045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79520"/>
        <c:crosses val="autoZero"/>
        <c:auto val="1"/>
        <c:lblAlgn val="ctr"/>
        <c:lblOffset val="100"/>
        <c:noMultiLvlLbl val="0"/>
      </c:catAx>
      <c:valAx>
        <c:axId val="18045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7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Incidence to PD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Stats'!$C$7:$P$7</c15:sqref>
                  </c15:fullRef>
                </c:ext>
              </c:extLst>
              <c:f>'Summary Stats'!$D$7:$P$7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E1-40AC-B23A-53B40D608E5F}"/>
            </c:ext>
          </c:extLst>
        </c:ser>
        <c:ser>
          <c:idx val="2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Stats'!$C$31:$P$31</c15:sqref>
                  </c15:fullRef>
                </c:ext>
              </c:extLst>
              <c:f>'Summary Stats'!$D$31:$P$31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E1-40AC-B23A-53B40D608E5F}"/>
            </c:ext>
          </c:extLst>
        </c:ser>
        <c:ser>
          <c:idx val="3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Stats'!$C$55:$P$55</c15:sqref>
                  </c15:fullRef>
                </c:ext>
              </c:extLst>
              <c:f>'Summary Stats'!$D$55:$P$55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E1-40AC-B23A-53B40D60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421120"/>
        <c:axId val="1804412480"/>
      </c:lineChart>
      <c:catAx>
        <c:axId val="180442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12480"/>
        <c:crosses val="autoZero"/>
        <c:auto val="1"/>
        <c:lblAlgn val="ctr"/>
        <c:lblOffset val="100"/>
        <c:noMultiLvlLbl val="0"/>
      </c:catAx>
      <c:valAx>
        <c:axId val="180441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2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Incidence to Live Tx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Stats'!$C$4:$P$4</c15:sqref>
                  </c15:fullRef>
                </c:ext>
              </c:extLst>
              <c:f>'Summary Stats'!$D$4:$P$4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3-4D41-9B4C-3D6978143B0F}"/>
            </c:ext>
          </c:extLst>
        </c:ser>
        <c:ser>
          <c:idx val="2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Stats'!$C$28:$P$28</c15:sqref>
                  </c15:fullRef>
                </c:ext>
              </c:extLst>
              <c:f>'Summary Stats'!$D$28:$P$28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3-4D41-9B4C-3D6978143B0F}"/>
            </c:ext>
          </c:extLst>
        </c:ser>
        <c:ser>
          <c:idx val="3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Stats'!$C$52:$P$52</c15:sqref>
                  </c15:fullRef>
                </c:ext>
              </c:extLst>
              <c:f>'Summary Stats'!$D$52:$P$52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83-4D41-9B4C-3D697814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437440"/>
        <c:axId val="1804436960"/>
      </c:lineChart>
      <c:catAx>
        <c:axId val="180443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36960"/>
        <c:crosses val="autoZero"/>
        <c:auto val="1"/>
        <c:lblAlgn val="ctr"/>
        <c:lblOffset val="100"/>
        <c:noMultiLvlLbl val="0"/>
      </c:catAx>
      <c:valAx>
        <c:axId val="18044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43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Incidence to Cadaver Tx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Stats'!$C$3:$P$3</c15:sqref>
                  </c15:fullRef>
                </c:ext>
              </c:extLst>
              <c:f>'Summary Stats'!$D$3:$P$3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84-4B16-8FB5-51F31FFB77AC}"/>
            </c:ext>
          </c:extLst>
        </c:ser>
        <c:ser>
          <c:idx val="2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Stats'!$C$27:$P$27</c15:sqref>
                  </c15:fullRef>
                </c:ext>
              </c:extLst>
              <c:f>'Summary Stats'!$D$27:$P$27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84-4B16-8FB5-51F31FFB77AC}"/>
            </c:ext>
          </c:extLst>
        </c:ser>
        <c:ser>
          <c:idx val="3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'Experiment Summary'!$O$54:$AB$54</c15:sqref>
                  </c15:fullRef>
                </c:ext>
              </c:extLst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'Summary Stats'!$C$51:$P$51</c15:sqref>
                  </c15:fullRef>
                </c:ext>
              </c:extLst>
              <c:f>'Summary Stats'!$D$51:$P$51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84-4B16-8FB5-51F31FFB7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4568480"/>
        <c:axId val="1804576640"/>
      </c:lineChart>
      <c:catAx>
        <c:axId val="180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76640"/>
        <c:crosses val="autoZero"/>
        <c:auto val="1"/>
        <c:lblAlgn val="ctr"/>
        <c:lblOffset val="100"/>
        <c:noMultiLvlLbl val="0"/>
      </c:catAx>
      <c:valAx>
        <c:axId val="180457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568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KRT prevalence</a:t>
            </a:r>
            <a:r>
              <a:rPr lang="en-US" baseline="0"/>
              <a:t> year end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'Experiment Summary'!$O$56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Summary'!$P$56:$AB$56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82-4D08-A0EA-613037BA679A}"/>
            </c:ext>
          </c:extLst>
        </c:ser>
        <c:ser>
          <c:idx val="1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Stats'!$D$34:$P$34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7-40AB-AB51-E2238A155BA6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Stats'!$D$58:$P$58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7-40AB-AB51-E2238A155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869664"/>
        <c:axId val="175876864"/>
      </c:lineChart>
      <c:catAx>
        <c:axId val="17586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76864"/>
        <c:crosses val="autoZero"/>
        <c:auto val="1"/>
        <c:lblAlgn val="ctr"/>
        <c:lblOffset val="100"/>
        <c:noMultiLvlLbl val="0"/>
      </c:catAx>
      <c:valAx>
        <c:axId val="175876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86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'Experiment Summary'!$O$57</c:f>
              <c:strCache>
                <c:ptCount val="1"/>
                <c:pt idx="0">
                  <c:v>ICHD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Summary'!$P$57:$AB$57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D2-40DF-A084-9A443B855839}"/>
            </c:ext>
          </c:extLst>
        </c:ser>
        <c:ser>
          <c:idx val="1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Stats'!$D$37:$P$37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BD-42FA-B841-4A8F017C0FC9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Stats'!$D$61:$P$61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7BD-42FA-B841-4A8F017C0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9481984"/>
        <c:axId val="519482464"/>
      </c:lineChart>
      <c:catAx>
        <c:axId val="51948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82464"/>
        <c:crosses val="autoZero"/>
        <c:auto val="1"/>
        <c:lblAlgn val="ctr"/>
        <c:lblOffset val="100"/>
        <c:noMultiLvlLbl val="0"/>
      </c:catAx>
      <c:valAx>
        <c:axId val="51948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8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HHD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'Experiment Summary'!$O$58</c:f>
              <c:strCache>
                <c:ptCount val="1"/>
                <c:pt idx="0">
                  <c:v>HHD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Summary'!$P$58:$AB$58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3D-4D2F-8640-3F55BFD6B695}"/>
            </c:ext>
          </c:extLst>
        </c:ser>
        <c:ser>
          <c:idx val="1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Stats'!$D$38:$P$38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8E-4CF4-B523-6FDC2115AC5A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Stats'!$D$62:$P$62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8E-4CF4-B523-6FDC2115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680512"/>
        <c:axId val="1944678592"/>
      </c:lineChart>
      <c:catAx>
        <c:axId val="1944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678592"/>
        <c:crosses val="autoZero"/>
        <c:auto val="1"/>
        <c:lblAlgn val="ctr"/>
        <c:lblOffset val="100"/>
        <c:noMultiLvlLbl val="0"/>
      </c:catAx>
      <c:valAx>
        <c:axId val="19446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68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'Experiment Summary'!$O$59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Summary'!$P$59:$AB$59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C-42E4-BA20-517C5F7C9A68}"/>
            </c:ext>
          </c:extLst>
        </c:ser>
        <c:ser>
          <c:idx val="1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Stats'!$D$39:$P$39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B-40C9-95B4-EE5656319F09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Stats'!$D$63:$P$63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1B-40C9-95B4-EE5656319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26336"/>
        <c:axId val="190326816"/>
      </c:lineChart>
      <c:catAx>
        <c:axId val="19032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6816"/>
        <c:crosses val="autoZero"/>
        <c:auto val="1"/>
        <c:lblAlgn val="ctr"/>
        <c:lblOffset val="100"/>
        <c:noMultiLvlLbl val="0"/>
      </c:catAx>
      <c:valAx>
        <c:axId val="1903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Live</a:t>
            </a:r>
            <a:r>
              <a:rPr lang="en-GB" baseline="0"/>
              <a:t> and Cadaver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2"/>
          <c:tx>
            <c:strRef>
              <c:f>'Experiment Summary'!$O$60</c:f>
              <c:strCache>
                <c:ptCount val="1"/>
                <c:pt idx="0">
                  <c:v>Tx Live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Summary'!$P$60:$AB$60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8A-4F2E-BEDD-86B78CBC5FA9}"/>
            </c:ext>
          </c:extLst>
        </c:ser>
        <c:ser>
          <c:idx val="1"/>
          <c:order val="3"/>
          <c:tx>
            <c:strRef>
              <c:f>'Experiment Summary'!$O$61</c:f>
              <c:strCache>
                <c:ptCount val="1"/>
                <c:pt idx="0">
                  <c:v>Tx Cadaver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Summary'!$P$61:$AB$61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8A-4F2E-BEDD-86B78CBC5FA9}"/>
            </c:ext>
          </c:extLst>
        </c:ser>
        <c:ser>
          <c:idx val="4"/>
          <c:order val="4"/>
          <c:tx>
            <c:v>LCL Cadaver</c:v>
          </c:tx>
          <c:spPr>
            <a:ln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Stats'!$D$35:$P$35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78A-4F2E-BEDD-86B78CBC5FA9}"/>
            </c:ext>
          </c:extLst>
        </c:ser>
        <c:ser>
          <c:idx val="5"/>
          <c:order val="5"/>
          <c:tx>
            <c:v>UCL Cadaver</c:v>
          </c:tx>
          <c:spPr>
            <a:ln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Stats'!$D$59:$P$59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78A-4F2E-BEDD-86B78CBC5FA9}"/>
            </c:ext>
          </c:extLst>
        </c:ser>
        <c:ser>
          <c:idx val="6"/>
          <c:order val="6"/>
          <c:tx>
            <c:v>LCL Live</c:v>
          </c:tx>
          <c:spPr>
            <a:ln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Stats'!$D$36:$P$36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78A-4F2E-BEDD-86B78CBC5FA9}"/>
            </c:ext>
          </c:extLst>
        </c:ser>
        <c:ser>
          <c:idx val="7"/>
          <c:order val="7"/>
          <c:tx>
            <c:v>UCL Live</c:v>
          </c:tx>
          <c:spPr>
            <a:ln>
              <a:solidFill>
                <a:srgbClr val="FFC000"/>
              </a:solidFill>
              <a:prstDash val="sysDot"/>
            </a:ln>
          </c:spPr>
          <c:marker>
            <c:symbol val="none"/>
          </c:marker>
          <c:cat>
            <c:numRef>
              <c:f>'Experiment Summary'!$P$54:$AB$54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Stats'!$D$60:$P$60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78A-4F2E-BEDD-86B78CBC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863120"/>
        <c:axId val="518849680"/>
        <c:extLst>
          <c:ext xmlns:c15="http://schemas.microsoft.com/office/drawing/2012/chart" uri="{02D57815-91ED-43cb-92C2-25804820EDAC}">
            <c15:filteredLine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'Experiment Summary'!$O$60</c15:sqref>
                        </c15:formulaRef>
                      </c:ext>
                    </c:extLst>
                    <c:strCache>
                      <c:ptCount val="1"/>
                      <c:pt idx="0">
                        <c:v>Tx Live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'Experiment Summary'!$P$54:$AB$54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'Experiment Summary'!$P$60:$AB$60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278A-4F2E-BEDD-86B78CBC5FA9}"/>
                  </c:ext>
                </c:extLst>
              </c15:ser>
            </c15:filteredLineSeries>
            <c15:filteredLineSeries>
              <c15:ser>
                <c:idx val="3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'Experiment Summary'!$O$61</c15:sqref>
                        </c15:formulaRef>
                      </c:ext>
                    </c:extLst>
                    <c:strCache>
                      <c:ptCount val="1"/>
                      <c:pt idx="0">
                        <c:v>Tx Cadaver</c:v>
                      </c:pt>
                    </c:strCache>
                  </c:strRef>
                </c:tx>
                <c:spPr>
                  <a:ln>
                    <a:solidFill>
                      <a:schemeClr val="accent4"/>
                    </a:solidFill>
                  </a:ln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'Experiment Summary'!$P$54:$AB$54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2023</c:v>
                      </c:pt>
                      <c:pt idx="1">
                        <c:v>2024</c:v>
                      </c:pt>
                      <c:pt idx="2">
                        <c:v>2025</c:v>
                      </c:pt>
                      <c:pt idx="3">
                        <c:v>2026</c:v>
                      </c:pt>
                      <c:pt idx="4">
                        <c:v>2027</c:v>
                      </c:pt>
                      <c:pt idx="5">
                        <c:v>2028</c:v>
                      </c:pt>
                      <c:pt idx="6">
                        <c:v>2029</c:v>
                      </c:pt>
                      <c:pt idx="7">
                        <c:v>2030</c:v>
                      </c:pt>
                      <c:pt idx="8">
                        <c:v>2031</c:v>
                      </c:pt>
                      <c:pt idx="9">
                        <c:v>2032</c:v>
                      </c:pt>
                      <c:pt idx="10">
                        <c:v>2033</c:v>
                      </c:pt>
                      <c:pt idx="11">
                        <c:v>2034</c:v>
                      </c:pt>
                      <c:pt idx="12">
                        <c:v>2035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'Experiment Summary'!$P$61:$AB$61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78A-4F2E-BEDD-86B78CBC5FA9}"/>
                  </c:ext>
                </c:extLst>
              </c15:ser>
            </c15:filteredLineSeries>
          </c:ext>
        </c:extLst>
      </c:lineChart>
      <c:catAx>
        <c:axId val="51886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49680"/>
        <c:crosses val="autoZero"/>
        <c:auto val="1"/>
        <c:lblAlgn val="ctr"/>
        <c:lblOffset val="100"/>
        <c:noMultiLvlLbl val="0"/>
      </c:catAx>
      <c:valAx>
        <c:axId val="51884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863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 Mortality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'Experiment Summary'!$O$177</c:f>
              <c:strCache>
                <c:ptCount val="1"/>
                <c:pt idx="0">
                  <c:v>Total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'Experiment Summary'!$P$175:$AB$175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'Experiment Summary'!$P$177:$AB$177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85-4F81-B730-986A6690994C}"/>
            </c:ext>
          </c:extLst>
        </c:ser>
        <c:ser>
          <c:idx val="1"/>
          <c:order val="1"/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Summary'!$P$175:$AB$175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Stats'!$D$42:$P$42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E8-469E-8E3D-F296C6F076D9}"/>
            </c:ext>
          </c:extLst>
        </c:ser>
        <c:ser>
          <c:idx val="2"/>
          <c:order val="2"/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'Experiment Summary'!$P$175:$AB$175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'Summary Stats'!$D$66:$P$66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E8-469E-8E3D-F296C6F07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789280"/>
        <c:axId val="345794080"/>
      </c:lineChart>
      <c:catAx>
        <c:axId val="34578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94080"/>
        <c:crosses val="autoZero"/>
        <c:auto val="1"/>
        <c:lblAlgn val="ctr"/>
        <c:lblOffset val="100"/>
        <c:noMultiLvlLbl val="0"/>
      </c:catAx>
      <c:valAx>
        <c:axId val="34579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78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Total</a:t>
            </a:r>
            <a:r>
              <a:rPr lang="en-GB" baseline="0"/>
              <a:t> Yearly Cost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Average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Summary_Cost!$B$1:$N$1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Summary_Cost!$B$2:$N$2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EA-4EC1-86C7-E534957D5DD6}"/>
            </c:ext>
          </c:extLst>
        </c:ser>
        <c:ser>
          <c:idx val="1"/>
          <c:order val="1"/>
          <c:tx>
            <c:v>LCL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Summary_Cost!$B$1:$N$1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Summary_Cost!$B$9:$N$9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EA-4EC1-86C7-E534957D5DD6}"/>
            </c:ext>
          </c:extLst>
        </c:ser>
        <c:ser>
          <c:idx val="2"/>
          <c:order val="2"/>
          <c:tx>
            <c:v>UCL</c:v>
          </c:tx>
          <c:spPr>
            <a:ln w="285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Summary_Cost!$B$1:$N$1</c:f>
              <c:numCache>
                <c:formatCode>General</c:formatCode>
                <c:ptCount val="1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  <c:pt idx="8">
                  <c:v>2031</c:v>
                </c:pt>
                <c:pt idx="9">
                  <c:v>2032</c:v>
                </c:pt>
                <c:pt idx="10">
                  <c:v>2033</c:v>
                </c:pt>
                <c:pt idx="11">
                  <c:v>2034</c:v>
                </c:pt>
                <c:pt idx="12">
                  <c:v>2035</c:v>
                </c:pt>
              </c:numCache>
            </c:numRef>
          </c:cat>
          <c:val>
            <c:numRef>
              <c:f>Summary_Cost!$B$16:$N$16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EA-4EC1-86C7-E534957D5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2090063"/>
        <c:axId val="1452090543"/>
      </c:lineChart>
      <c:catAx>
        <c:axId val="14520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90543"/>
        <c:crosses val="autoZero"/>
        <c:auto val="1"/>
        <c:lblAlgn val="ctr"/>
        <c:lblOffset val="100"/>
        <c:noMultiLvlLbl val="0"/>
      </c:catAx>
      <c:valAx>
        <c:axId val="14520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9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138</xdr:row>
      <xdr:rowOff>212907</xdr:rowOff>
    </xdr:from>
    <xdr:to>
      <xdr:col>9</xdr:col>
      <xdr:colOff>645882</xdr:colOff>
      <xdr:row>152</xdr:row>
      <xdr:rowOff>112143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19047</xdr:colOff>
      <xdr:row>190</xdr:row>
      <xdr:rowOff>171448</xdr:rowOff>
    </xdr:from>
    <xdr:to>
      <xdr:col>20</xdr:col>
      <xdr:colOff>664929</xdr:colOff>
      <xdr:row>204</xdr:row>
      <xdr:rowOff>70684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119</xdr:row>
      <xdr:rowOff>209755</xdr:rowOff>
    </xdr:from>
    <xdr:to>
      <xdr:col>20</xdr:col>
      <xdr:colOff>645882</xdr:colOff>
      <xdr:row>133</xdr:row>
      <xdr:rowOff>105180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119</xdr:row>
      <xdr:rowOff>212906</xdr:rowOff>
    </xdr:from>
    <xdr:to>
      <xdr:col>9</xdr:col>
      <xdr:colOff>645882</xdr:colOff>
      <xdr:row>133</xdr:row>
      <xdr:rowOff>112141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626740</xdr:colOff>
      <xdr:row>154</xdr:row>
      <xdr:rowOff>212908</xdr:rowOff>
    </xdr:from>
    <xdr:to>
      <xdr:col>9</xdr:col>
      <xdr:colOff>602174</xdr:colOff>
      <xdr:row>168</xdr:row>
      <xdr:rowOff>112143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190</xdr:row>
      <xdr:rowOff>211448</xdr:rowOff>
    </xdr:from>
    <xdr:to>
      <xdr:col>9</xdr:col>
      <xdr:colOff>645882</xdr:colOff>
      <xdr:row>204</xdr:row>
      <xdr:rowOff>110684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22</xdr:col>
      <xdr:colOff>143934</xdr:colOff>
      <xdr:row>0</xdr:row>
      <xdr:rowOff>155574</xdr:rowOff>
    </xdr:from>
    <xdr:to>
      <xdr:col>23</xdr:col>
      <xdr:colOff>477942</xdr:colOff>
      <xdr:row>3</xdr:row>
      <xdr:rowOff>114788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4181879" y="155574"/>
          <a:ext cx="1002663" cy="818542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3</xdr:col>
      <xdr:colOff>1907</xdr:colOff>
      <xdr:row>17</xdr:row>
      <xdr:rowOff>113347</xdr:rowOff>
    </xdr:from>
    <xdr:to>
      <xdr:col>12</xdr:col>
      <xdr:colOff>641032</xdr:colOff>
      <xdr:row>31</xdr:row>
      <xdr:rowOff>23812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18E45EB-B68B-488F-9465-0D5DBFB73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206299</xdr:colOff>
      <xdr:row>17</xdr:row>
      <xdr:rowOff>125780</xdr:rowOff>
    </xdr:from>
    <xdr:to>
      <xdr:col>23</xdr:col>
      <xdr:colOff>331468</xdr:colOff>
      <xdr:row>31</xdr:row>
      <xdr:rowOff>23812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101BA4B3-336A-47AD-9DBB-1077F5D534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15688</xdr:colOff>
      <xdr:row>31</xdr:row>
      <xdr:rowOff>155460</xdr:rowOff>
    </xdr:from>
    <xdr:to>
      <xdr:col>12</xdr:col>
      <xdr:colOff>639126</xdr:colOff>
      <xdr:row>47</xdr:row>
      <xdr:rowOff>95250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69CE25A-B3DA-4C22-8E92-EB49703D5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206187</xdr:colOff>
      <xdr:row>31</xdr:row>
      <xdr:rowOff>161018</xdr:rowOff>
    </xdr:from>
    <xdr:to>
      <xdr:col>23</xdr:col>
      <xdr:colOff>309561</xdr:colOff>
      <xdr:row>47</xdr:row>
      <xdr:rowOff>119062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273D97AD-0A9F-4A0A-B24D-8579CF2D8C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521353</xdr:colOff>
      <xdr:row>31</xdr:row>
      <xdr:rowOff>172899</xdr:rowOff>
    </xdr:from>
    <xdr:to>
      <xdr:col>33</xdr:col>
      <xdr:colOff>357186</xdr:colOff>
      <xdr:row>47</xdr:row>
      <xdr:rowOff>119063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A82A399E-4630-42A1-A20F-F671FDA57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49528</xdr:colOff>
      <xdr:row>52</xdr:row>
      <xdr:rowOff>148590</xdr:rowOff>
    </xdr:from>
    <xdr:to>
      <xdr:col>13</xdr:col>
      <xdr:colOff>17318</xdr:colOff>
      <xdr:row>67</xdr:row>
      <xdr:rowOff>69272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14F9134D-EEDF-7F10-22C6-96DFB4DE3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16599</xdr:colOff>
      <xdr:row>70</xdr:row>
      <xdr:rowOff>18506</xdr:rowOff>
    </xdr:from>
    <xdr:to>
      <xdr:col>13</xdr:col>
      <xdr:colOff>462508</xdr:colOff>
      <xdr:row>82</xdr:row>
      <xdr:rowOff>58023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70789C53-A5EE-0C6F-0607-98DB851CB5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57226</xdr:colOff>
      <xdr:row>70</xdr:row>
      <xdr:rowOff>16329</xdr:rowOff>
    </xdr:from>
    <xdr:to>
      <xdr:col>24</xdr:col>
      <xdr:colOff>383813</xdr:colOff>
      <xdr:row>82</xdr:row>
      <xdr:rowOff>53941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8CF4A2D-7139-35F8-324F-2FC6D8352A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16500</xdr:colOff>
      <xdr:row>83</xdr:row>
      <xdr:rowOff>56283</xdr:rowOff>
    </xdr:from>
    <xdr:to>
      <xdr:col>13</xdr:col>
      <xdr:colOff>462409</xdr:colOff>
      <xdr:row>95</xdr:row>
      <xdr:rowOff>95800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7D97D672-11CB-5D05-21D3-D5154D364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72459</xdr:colOff>
      <xdr:row>83</xdr:row>
      <xdr:rowOff>75136</xdr:rowOff>
    </xdr:from>
    <xdr:to>
      <xdr:col>24</xdr:col>
      <xdr:colOff>391426</xdr:colOff>
      <xdr:row>95</xdr:row>
      <xdr:rowOff>97508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9E153474-4975-7AF4-A24F-C1F277C381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</xdr:col>
      <xdr:colOff>67218</xdr:colOff>
      <xdr:row>173</xdr:row>
      <xdr:rowOff>168185</xdr:rowOff>
    </xdr:from>
    <xdr:to>
      <xdr:col>13</xdr:col>
      <xdr:colOff>17318</xdr:colOff>
      <xdr:row>188</xdr:row>
      <xdr:rowOff>51955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DAD4EA60-FDCD-3492-8A4D-17B828467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</xdr:col>
      <xdr:colOff>1904</xdr:colOff>
      <xdr:row>103</xdr:row>
      <xdr:rowOff>98195</xdr:rowOff>
    </xdr:from>
    <xdr:to>
      <xdr:col>13</xdr:col>
      <xdr:colOff>17318</xdr:colOff>
      <xdr:row>116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67EA7-28F7-48A8-A33D-99CB4B786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</sheetPr>
  <dimension ref="A3:AP208"/>
  <sheetViews>
    <sheetView showGridLines="0" tabSelected="1" topLeftCell="A86" zoomScale="55" zoomScaleNormal="55" workbookViewId="0">
      <selection activeCell="Q115" sqref="Q115"/>
    </sheetView>
  </sheetViews>
  <sheetFormatPr defaultColWidth="9.6640625" defaultRowHeight="16.5" customHeight="1" x14ac:dyDescent="0.4"/>
  <cols>
    <col min="1" max="1" width="2.88671875" style="29" customWidth="1"/>
    <col min="2" max="2" width="4" style="29" customWidth="1"/>
    <col min="3" max="3" width="4" style="14" customWidth="1"/>
    <col min="4" max="14" width="9.6640625" style="5" customWidth="1"/>
    <col min="15" max="15" width="11.109375" style="5" customWidth="1"/>
    <col min="16" max="16" width="10.33203125" style="5" bestFit="1" customWidth="1"/>
    <col min="17" max="23" width="9.6640625" style="5" customWidth="1"/>
    <col min="24" max="16384" width="9.6640625" style="5"/>
  </cols>
  <sheetData>
    <row r="3" spans="1:28" ht="34.200000000000003" customHeight="1" x14ac:dyDescent="0.75">
      <c r="D3" s="33" t="s">
        <v>57</v>
      </c>
    </row>
    <row r="4" spans="1:28" ht="16.2" customHeight="1" x14ac:dyDescent="0.4"/>
    <row r="5" spans="1:28" ht="24.6" x14ac:dyDescent="0.4">
      <c r="D5" s="34" t="s">
        <v>58</v>
      </c>
    </row>
    <row r="6" spans="1:28" ht="24.6" x14ac:dyDescent="0.4">
      <c r="D6" s="35" t="s">
        <v>59</v>
      </c>
    </row>
    <row r="7" spans="1:28" ht="24.6" x14ac:dyDescent="0.55000000000000004">
      <c r="D7" s="36" t="s">
        <v>60</v>
      </c>
    </row>
    <row r="8" spans="1:28" ht="24.6" x14ac:dyDescent="0.55000000000000004">
      <c r="D8" s="36" t="s">
        <v>61</v>
      </c>
    </row>
    <row r="10" spans="1:28" s="3" customFormat="1" ht="24.6" customHeight="1" x14ac:dyDescent="0.55000000000000004">
      <c r="A10" s="25"/>
      <c r="B10" s="25"/>
      <c r="C10" s="26"/>
      <c r="D10" s="1" t="s">
        <v>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8" s="3" customFormat="1" ht="15" customHeight="1" x14ac:dyDescent="0.35">
      <c r="A11" s="25"/>
      <c r="B11" s="25"/>
      <c r="C11" s="26"/>
    </row>
    <row r="12" spans="1:28" s="3" customFormat="1" ht="16.8" customHeight="1" x14ac:dyDescent="0.4">
      <c r="A12" s="25"/>
      <c r="B12" s="25"/>
      <c r="C12" s="26"/>
      <c r="D12" s="4" t="s">
        <v>1</v>
      </c>
      <c r="E12" s="5"/>
      <c r="F12" s="5"/>
      <c r="G12" s="37" t="s">
        <v>55</v>
      </c>
      <c r="H12" s="38"/>
      <c r="I12" s="38"/>
      <c r="J12" s="38"/>
      <c r="K12" s="38"/>
      <c r="L12" s="38"/>
      <c r="M12" s="39"/>
      <c r="N12" s="5"/>
      <c r="O12" s="4" t="s">
        <v>2</v>
      </c>
      <c r="P12" s="5"/>
      <c r="Q12" s="5"/>
      <c r="R12" s="37">
        <v>2023</v>
      </c>
      <c r="S12" s="38"/>
      <c r="T12" s="38"/>
      <c r="U12" s="38"/>
      <c r="V12" s="38"/>
      <c r="W12" s="38"/>
      <c r="X12" s="39"/>
    </row>
    <row r="13" spans="1:28" s="3" customFormat="1" ht="16.95" customHeight="1" x14ac:dyDescent="0.4">
      <c r="A13" s="25"/>
      <c r="B13" s="25"/>
      <c r="C13" s="26"/>
      <c r="D13" s="4" t="s">
        <v>3</v>
      </c>
      <c r="E13" s="5"/>
      <c r="F13" s="5"/>
      <c r="G13" s="40" t="s">
        <v>56</v>
      </c>
      <c r="H13" s="38"/>
      <c r="I13" s="38"/>
      <c r="J13" s="38"/>
      <c r="K13" s="38"/>
      <c r="L13" s="38"/>
      <c r="M13" s="39"/>
      <c r="N13" s="5"/>
      <c r="O13" s="4" t="s">
        <v>4</v>
      </c>
      <c r="P13" s="5"/>
      <c r="Q13" s="5"/>
      <c r="R13" s="37">
        <v>2035</v>
      </c>
      <c r="S13" s="38"/>
      <c r="T13" s="38"/>
      <c r="U13" s="38"/>
      <c r="V13" s="38"/>
      <c r="W13" s="38"/>
      <c r="X13" s="39"/>
    </row>
    <row r="14" spans="1:28" s="3" customFormat="1" ht="16.8" customHeight="1" x14ac:dyDescent="0.4">
      <c r="A14" s="25"/>
      <c r="B14" s="25"/>
      <c r="C14" s="26"/>
      <c r="D14" s="4"/>
      <c r="E14" s="5"/>
      <c r="F14" s="5"/>
      <c r="G14" s="6"/>
      <c r="H14" s="6"/>
      <c r="I14" s="6"/>
      <c r="J14" s="6"/>
      <c r="K14" s="6"/>
      <c r="L14" s="6"/>
      <c r="M14" s="6"/>
      <c r="N14" s="5"/>
      <c r="O14" s="4"/>
      <c r="P14" s="5"/>
      <c r="Q14" s="5"/>
      <c r="R14" s="6"/>
      <c r="S14" s="6"/>
      <c r="T14" s="6"/>
      <c r="U14" s="6"/>
      <c r="V14" s="6"/>
      <c r="W14" s="6"/>
      <c r="X14" s="6"/>
    </row>
    <row r="15" spans="1:28" ht="25.2" customHeight="1" x14ac:dyDescent="0.55000000000000004">
      <c r="D15" s="1" t="s">
        <v>5</v>
      </c>
      <c r="E15" s="2"/>
      <c r="F15" s="2"/>
      <c r="G15" s="2"/>
      <c r="H15" s="2"/>
      <c r="I15" s="8"/>
      <c r="J15" s="8"/>
      <c r="K15" s="8"/>
      <c r="L15" s="8"/>
      <c r="M15" s="8"/>
      <c r="N15" s="8"/>
      <c r="O15" s="2"/>
      <c r="P15" s="2"/>
      <c r="Q15" s="2"/>
      <c r="R15" s="2"/>
      <c r="S15" s="2"/>
      <c r="T15" s="2"/>
      <c r="U15" s="2"/>
      <c r="V15" s="2"/>
      <c r="W15" s="2"/>
      <c r="X15" s="2"/>
      <c r="Y15" s="3"/>
      <c r="Z15" s="3"/>
      <c r="AA15" s="3"/>
      <c r="AB15" s="3"/>
    </row>
    <row r="16" spans="1:28" ht="16.5" customHeight="1" x14ac:dyDescent="0.4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4:28" ht="16.5" customHeight="1" x14ac:dyDescent="0.4">
      <c r="D17" s="9" t="s">
        <v>6</v>
      </c>
      <c r="E17" s="7"/>
      <c r="F17" s="7"/>
      <c r="G17" s="7"/>
      <c r="H17" s="7"/>
      <c r="I17" s="7"/>
      <c r="J17" s="7"/>
      <c r="K17" s="7"/>
      <c r="L17" s="7"/>
      <c r="M17" s="7"/>
      <c r="O17" s="10"/>
      <c r="Z17" s="3"/>
      <c r="AA17" s="3"/>
      <c r="AB17" s="3"/>
    </row>
    <row r="18" spans="4:28" ht="16.5" customHeight="1" x14ac:dyDescent="0.4">
      <c r="D18" s="11"/>
      <c r="O18" s="12"/>
      <c r="Z18" s="3"/>
      <c r="AA18" s="3"/>
      <c r="AB18" s="3"/>
    </row>
    <row r="19" spans="4:28" ht="16.5" customHeight="1" x14ac:dyDescent="0.4">
      <c r="D19" s="11"/>
      <c r="O19" s="12"/>
      <c r="Z19" s="3"/>
      <c r="AA19" s="3"/>
      <c r="AB19" s="3"/>
    </row>
    <row r="20" spans="4:28" ht="16.5" customHeight="1" x14ac:dyDescent="0.4">
      <c r="D20" s="11"/>
      <c r="O20" s="12"/>
      <c r="Z20" s="3"/>
      <c r="AA20" s="3"/>
      <c r="AB20" s="3"/>
    </row>
    <row r="21" spans="4:28" ht="16.5" customHeight="1" x14ac:dyDescent="0.4">
      <c r="D21" s="11"/>
      <c r="O21" s="12"/>
      <c r="Z21" s="3"/>
      <c r="AA21" s="3"/>
      <c r="AB21" s="3"/>
    </row>
    <row r="22" spans="4:28" ht="16.5" customHeight="1" x14ac:dyDescent="0.4">
      <c r="D22" s="11"/>
      <c r="O22" s="12"/>
      <c r="Z22" s="3"/>
      <c r="AA22" s="3"/>
      <c r="AB22" s="3"/>
    </row>
    <row r="23" spans="4:28" ht="16.5" customHeight="1" x14ac:dyDescent="0.4">
      <c r="D23" s="11"/>
      <c r="O23" s="12"/>
      <c r="Z23" s="3"/>
      <c r="AA23" s="3"/>
      <c r="AB23" s="3"/>
    </row>
    <row r="24" spans="4:28" ht="16.5" customHeight="1" x14ac:dyDescent="0.4">
      <c r="D24" s="11"/>
      <c r="O24" s="12"/>
      <c r="Z24" s="3"/>
      <c r="AA24" s="3"/>
      <c r="AB24" s="3"/>
    </row>
    <row r="25" spans="4:28" ht="16.5" customHeight="1" x14ac:dyDescent="0.4">
      <c r="D25" s="11"/>
      <c r="O25" s="12"/>
      <c r="Z25" s="3"/>
      <c r="AA25" s="3"/>
      <c r="AB25" s="3"/>
    </row>
    <row r="26" spans="4:28" ht="16.5" customHeight="1" x14ac:dyDescent="0.4">
      <c r="D26" s="11"/>
      <c r="O26" s="12"/>
      <c r="Z26" s="3"/>
      <c r="AA26" s="3"/>
      <c r="AB26" s="3"/>
    </row>
    <row r="27" spans="4:28" ht="16.5" customHeight="1" x14ac:dyDescent="0.4">
      <c r="D27" s="11"/>
      <c r="O27" s="12"/>
      <c r="Z27" s="3"/>
      <c r="AA27" s="3"/>
      <c r="AB27" s="3"/>
    </row>
    <row r="28" spans="4:28" ht="16.5" customHeight="1" x14ac:dyDescent="0.4">
      <c r="D28" s="11"/>
      <c r="O28" s="12"/>
      <c r="Z28" s="3"/>
      <c r="AA28" s="3"/>
      <c r="AB28" s="3"/>
    </row>
    <row r="29" spans="4:28" ht="16.5" customHeight="1" x14ac:dyDescent="0.4">
      <c r="D29" s="11"/>
      <c r="O29" s="12"/>
      <c r="Z29" s="3"/>
      <c r="AA29" s="3"/>
      <c r="AB29" s="3"/>
    </row>
    <row r="30" spans="4:28" ht="16.5" customHeight="1" x14ac:dyDescent="0.4">
      <c r="D30" s="11"/>
      <c r="O30" s="12"/>
      <c r="Z30" s="3"/>
      <c r="AA30" s="3"/>
      <c r="AB30" s="3"/>
    </row>
    <row r="31" spans="4:28" ht="16.5" customHeight="1" x14ac:dyDescent="0.4">
      <c r="D31" s="11"/>
      <c r="O31" s="12"/>
      <c r="Z31" s="3"/>
      <c r="AA31" s="3"/>
      <c r="AB31" s="3"/>
    </row>
    <row r="32" spans="4:28" ht="16.5" customHeight="1" x14ac:dyDescent="0.4">
      <c r="D32" s="11"/>
      <c r="O32" s="12"/>
      <c r="Z32" s="3"/>
      <c r="AA32" s="3"/>
      <c r="AB32" s="3"/>
    </row>
    <row r="33" spans="4:28" ht="16.5" customHeight="1" x14ac:dyDescent="0.4">
      <c r="D33" s="11"/>
      <c r="O33" s="12"/>
      <c r="Z33" s="3"/>
      <c r="AA33" s="3"/>
      <c r="AB33" s="3"/>
    </row>
    <row r="49" spans="1:42" s="3" customFormat="1" ht="16.8" customHeight="1" x14ac:dyDescent="0.4">
      <c r="A49" s="25"/>
      <c r="B49" s="25"/>
      <c r="C49" s="2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42" s="3" customFormat="1" ht="24.6" customHeight="1" x14ac:dyDescent="0.55000000000000004">
      <c r="A50" s="25"/>
      <c r="B50" s="25"/>
      <c r="C50" s="26"/>
      <c r="D50" s="1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5"/>
      <c r="Z50" s="5"/>
      <c r="AA50" s="5"/>
      <c r="AB50" s="5"/>
    </row>
    <row r="51" spans="1:42" s="3" customFormat="1" ht="15" customHeight="1" x14ac:dyDescent="0.35">
      <c r="A51" s="25"/>
      <c r="B51" s="25"/>
      <c r="C51" s="26"/>
    </row>
    <row r="52" spans="1:42" s="3" customFormat="1" ht="16.8" customHeight="1" x14ac:dyDescent="0.4">
      <c r="A52" s="25"/>
      <c r="B52" s="25"/>
      <c r="C52" s="26"/>
      <c r="D52" s="9" t="s">
        <v>45</v>
      </c>
      <c r="E52" s="7"/>
      <c r="F52" s="7"/>
      <c r="G52" s="7"/>
      <c r="H52" s="7"/>
      <c r="I52" s="7"/>
      <c r="J52" s="7"/>
      <c r="K52" s="7"/>
      <c r="L52" s="7"/>
      <c r="M52" s="7"/>
      <c r="N52" s="5"/>
      <c r="O52" s="9" t="s">
        <v>46</v>
      </c>
      <c r="P52" s="7"/>
      <c r="Q52" s="7"/>
      <c r="R52" s="7"/>
      <c r="S52" s="7"/>
      <c r="T52" s="7"/>
      <c r="U52" s="7"/>
      <c r="V52" s="7"/>
      <c r="W52" s="7"/>
      <c r="X52" s="7"/>
      <c r="Y52" s="5"/>
    </row>
    <row r="53" spans="1:42" ht="16.8" customHeight="1" x14ac:dyDescent="0.4"/>
    <row r="54" spans="1:42" ht="16.8" customHeight="1" x14ac:dyDescent="0.4">
      <c r="O54" s="13"/>
      <c r="P54" s="13">
        <v>2023</v>
      </c>
      <c r="Q54" s="13">
        <v>2024</v>
      </c>
      <c r="R54" s="13">
        <v>2025</v>
      </c>
      <c r="S54" s="13">
        <v>2026</v>
      </c>
      <c r="T54" s="13">
        <v>2027</v>
      </c>
      <c r="U54" s="13">
        <v>2028</v>
      </c>
      <c r="V54" s="13">
        <v>2029</v>
      </c>
      <c r="W54" s="13">
        <v>2030</v>
      </c>
      <c r="X54" s="13">
        <v>2031</v>
      </c>
      <c r="Y54" s="13">
        <v>2032</v>
      </c>
      <c r="Z54" s="13">
        <v>2033</v>
      </c>
      <c r="AA54" s="13">
        <v>2034</v>
      </c>
      <c r="AB54" s="13">
        <v>2035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6.8" customHeight="1" x14ac:dyDescent="0.4">
      <c r="O55" s="4" t="s">
        <v>8</v>
      </c>
      <c r="V55" s="14"/>
      <c r="W55" s="14"/>
      <c r="X55" s="14"/>
    </row>
    <row r="56" spans="1:42" ht="16.5" customHeight="1" x14ac:dyDescent="0.4">
      <c r="O56" s="5" t="s">
        <v>9</v>
      </c>
      <c r="P56" s="5" t="e">
        <f ca="1">'Summary Stats'!D10</f>
        <v>#REF!</v>
      </c>
      <c r="Q56" s="5" t="e">
        <f ca="1">'Summary Stats'!E10</f>
        <v>#REF!</v>
      </c>
      <c r="R56" s="5" t="e">
        <f ca="1">'Summary Stats'!F10</f>
        <v>#REF!</v>
      </c>
      <c r="S56" s="5" t="e">
        <f ca="1">'Summary Stats'!G10</f>
        <v>#REF!</v>
      </c>
      <c r="T56" s="5" t="e">
        <f ca="1">'Summary Stats'!H10</f>
        <v>#REF!</v>
      </c>
      <c r="U56" s="5" t="e">
        <f ca="1">'Summary Stats'!I10</f>
        <v>#REF!</v>
      </c>
      <c r="V56" s="5" t="e">
        <f ca="1">'Summary Stats'!J10</f>
        <v>#REF!</v>
      </c>
      <c r="W56" s="5" t="e">
        <f ca="1">'Summary Stats'!K10</f>
        <v>#REF!</v>
      </c>
      <c r="X56" s="5" t="e">
        <f ca="1">'Summary Stats'!L10</f>
        <v>#REF!</v>
      </c>
      <c r="Y56" s="5" t="e">
        <f ca="1">'Summary Stats'!M10</f>
        <v>#REF!</v>
      </c>
      <c r="Z56" s="5" t="e">
        <f ca="1">'Summary Stats'!N10</f>
        <v>#REF!</v>
      </c>
      <c r="AA56" s="5" t="e">
        <f ca="1">'Summary Stats'!O10</f>
        <v>#REF!</v>
      </c>
      <c r="AB56" s="5" t="e">
        <f ca="1">'Summary Stats'!P10</f>
        <v>#REF!</v>
      </c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</row>
    <row r="57" spans="1:42" ht="16.5" customHeight="1" x14ac:dyDescent="0.4">
      <c r="O57" s="5" t="s">
        <v>10</v>
      </c>
      <c r="P57" s="5" t="e">
        <f ca="1">'Summary Stats'!D13</f>
        <v>#REF!</v>
      </c>
      <c r="Q57" s="5" t="e">
        <f ca="1">'Summary Stats'!E13</f>
        <v>#REF!</v>
      </c>
      <c r="R57" s="5" t="e">
        <f ca="1">'Summary Stats'!F13</f>
        <v>#REF!</v>
      </c>
      <c r="S57" s="5" t="e">
        <f ca="1">'Summary Stats'!G13</f>
        <v>#REF!</v>
      </c>
      <c r="T57" s="5" t="e">
        <f ca="1">'Summary Stats'!H13</f>
        <v>#REF!</v>
      </c>
      <c r="U57" s="5" t="e">
        <f ca="1">'Summary Stats'!I13</f>
        <v>#REF!</v>
      </c>
      <c r="V57" s="5" t="e">
        <f ca="1">'Summary Stats'!J13</f>
        <v>#REF!</v>
      </c>
      <c r="W57" s="5" t="e">
        <f ca="1">'Summary Stats'!K13</f>
        <v>#REF!</v>
      </c>
      <c r="X57" s="5" t="e">
        <f ca="1">'Summary Stats'!L13</f>
        <v>#REF!</v>
      </c>
      <c r="Y57" s="5" t="e">
        <f ca="1">'Summary Stats'!M13</f>
        <v>#REF!</v>
      </c>
      <c r="Z57" s="5" t="e">
        <f ca="1">'Summary Stats'!N13</f>
        <v>#REF!</v>
      </c>
      <c r="AA57" s="5" t="e">
        <f ca="1">'Summary Stats'!O13</f>
        <v>#REF!</v>
      </c>
      <c r="AB57" s="5" t="e">
        <f ca="1">'Summary Stats'!P13</f>
        <v>#REF!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</row>
    <row r="58" spans="1:42" ht="16.5" customHeight="1" x14ac:dyDescent="0.4">
      <c r="O58" s="5" t="s">
        <v>11</v>
      </c>
      <c r="P58" s="5" t="e">
        <f ca="1">'Summary Stats'!D14</f>
        <v>#REF!</v>
      </c>
      <c r="Q58" s="5" t="e">
        <f ca="1">'Summary Stats'!E14</f>
        <v>#REF!</v>
      </c>
      <c r="R58" s="5" t="e">
        <f ca="1">'Summary Stats'!F14</f>
        <v>#REF!</v>
      </c>
      <c r="S58" s="5" t="e">
        <f ca="1">'Summary Stats'!G14</f>
        <v>#REF!</v>
      </c>
      <c r="T58" s="5" t="e">
        <f ca="1">'Summary Stats'!H14</f>
        <v>#REF!</v>
      </c>
      <c r="U58" s="5" t="e">
        <f ca="1">'Summary Stats'!I14</f>
        <v>#REF!</v>
      </c>
      <c r="V58" s="5" t="e">
        <f ca="1">'Summary Stats'!J14</f>
        <v>#REF!</v>
      </c>
      <c r="W58" s="5" t="e">
        <f ca="1">'Summary Stats'!K14</f>
        <v>#REF!</v>
      </c>
      <c r="X58" s="5" t="e">
        <f ca="1">'Summary Stats'!L14</f>
        <v>#REF!</v>
      </c>
      <c r="Y58" s="5" t="e">
        <f ca="1">'Summary Stats'!M14</f>
        <v>#REF!</v>
      </c>
      <c r="Z58" s="5" t="e">
        <f ca="1">'Summary Stats'!N14</f>
        <v>#REF!</v>
      </c>
      <c r="AA58" s="5" t="e">
        <f ca="1">'Summary Stats'!O14</f>
        <v>#REF!</v>
      </c>
      <c r="AB58" s="5" t="e">
        <f ca="1">'Summary Stats'!P14</f>
        <v>#REF!</v>
      </c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</row>
    <row r="59" spans="1:42" ht="16.5" customHeight="1" x14ac:dyDescent="0.4">
      <c r="O59" s="5" t="s">
        <v>12</v>
      </c>
      <c r="P59" s="5" t="e">
        <f ca="1">'Summary Stats'!D15</f>
        <v>#REF!</v>
      </c>
      <c r="Q59" s="5" t="e">
        <f ca="1">'Summary Stats'!E15</f>
        <v>#REF!</v>
      </c>
      <c r="R59" s="5" t="e">
        <f ca="1">'Summary Stats'!F15</f>
        <v>#REF!</v>
      </c>
      <c r="S59" s="5" t="e">
        <f ca="1">'Summary Stats'!G15</f>
        <v>#REF!</v>
      </c>
      <c r="T59" s="5" t="e">
        <f ca="1">'Summary Stats'!H15</f>
        <v>#REF!</v>
      </c>
      <c r="U59" s="5" t="e">
        <f ca="1">'Summary Stats'!I15</f>
        <v>#REF!</v>
      </c>
      <c r="V59" s="5" t="e">
        <f ca="1">'Summary Stats'!J15</f>
        <v>#REF!</v>
      </c>
      <c r="W59" s="5" t="e">
        <f ca="1">'Summary Stats'!K15</f>
        <v>#REF!</v>
      </c>
      <c r="X59" s="5" t="e">
        <f ca="1">'Summary Stats'!L15</f>
        <v>#REF!</v>
      </c>
      <c r="Y59" s="5" t="e">
        <f ca="1">'Summary Stats'!M15</f>
        <v>#REF!</v>
      </c>
      <c r="Z59" s="5" t="e">
        <f ca="1">'Summary Stats'!N15</f>
        <v>#REF!</v>
      </c>
      <c r="AA59" s="5" t="e">
        <f ca="1">'Summary Stats'!O15</f>
        <v>#REF!</v>
      </c>
      <c r="AB59" s="5" t="e">
        <f ca="1">'Summary Stats'!P15</f>
        <v>#REF!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</row>
    <row r="60" spans="1:42" ht="16.5" customHeight="1" x14ac:dyDescent="0.4">
      <c r="O60" s="5" t="s">
        <v>42</v>
      </c>
      <c r="P60" s="5" t="e">
        <f ca="1">'Summary Stats'!D12</f>
        <v>#REF!</v>
      </c>
      <c r="Q60" s="5" t="e">
        <f ca="1">'Summary Stats'!E12</f>
        <v>#REF!</v>
      </c>
      <c r="R60" s="5" t="e">
        <f ca="1">'Summary Stats'!F12</f>
        <v>#REF!</v>
      </c>
      <c r="S60" s="5" t="e">
        <f ca="1">'Summary Stats'!G12</f>
        <v>#REF!</v>
      </c>
      <c r="T60" s="5" t="e">
        <f ca="1">'Summary Stats'!H12</f>
        <v>#REF!</v>
      </c>
      <c r="U60" s="5" t="e">
        <f ca="1">'Summary Stats'!I12</f>
        <v>#REF!</v>
      </c>
      <c r="V60" s="5" t="e">
        <f ca="1">'Summary Stats'!J12</f>
        <v>#REF!</v>
      </c>
      <c r="W60" s="5" t="e">
        <f ca="1">'Summary Stats'!K12</f>
        <v>#REF!</v>
      </c>
      <c r="X60" s="5" t="e">
        <f ca="1">'Summary Stats'!L12</f>
        <v>#REF!</v>
      </c>
      <c r="Y60" s="5" t="e">
        <f ca="1">'Summary Stats'!M12</f>
        <v>#REF!</v>
      </c>
      <c r="Z60" s="5" t="e">
        <f ca="1">'Summary Stats'!N12</f>
        <v>#REF!</v>
      </c>
      <c r="AA60" s="5" t="e">
        <f ca="1">'Summary Stats'!O12</f>
        <v>#REF!</v>
      </c>
      <c r="AB60" s="5" t="e">
        <f ca="1">'Summary Stats'!P12</f>
        <v>#REF!</v>
      </c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</row>
    <row r="61" spans="1:42" ht="16.2" customHeight="1" x14ac:dyDescent="0.4">
      <c r="O61" s="7" t="s">
        <v>43</v>
      </c>
      <c r="P61" s="7" t="e">
        <f ca="1">'Summary Stats'!D11</f>
        <v>#REF!</v>
      </c>
      <c r="Q61" s="7" t="e">
        <f ca="1">'Summary Stats'!E11</f>
        <v>#REF!</v>
      </c>
      <c r="R61" s="7" t="e">
        <f ca="1">'Summary Stats'!F11</f>
        <v>#REF!</v>
      </c>
      <c r="S61" s="7" t="e">
        <f ca="1">'Summary Stats'!G11</f>
        <v>#REF!</v>
      </c>
      <c r="T61" s="7" t="e">
        <f ca="1">'Summary Stats'!H11</f>
        <v>#REF!</v>
      </c>
      <c r="U61" s="7" t="e">
        <f ca="1">'Summary Stats'!I11</f>
        <v>#REF!</v>
      </c>
      <c r="V61" s="7" t="e">
        <f ca="1">'Summary Stats'!J11</f>
        <v>#REF!</v>
      </c>
      <c r="W61" s="7" t="e">
        <f ca="1">'Summary Stats'!K11</f>
        <v>#REF!</v>
      </c>
      <c r="X61" s="7" t="e">
        <f ca="1">'Summary Stats'!L11</f>
        <v>#REF!</v>
      </c>
      <c r="Y61" s="7" t="e">
        <f ca="1">'Summary Stats'!M11</f>
        <v>#REF!</v>
      </c>
      <c r="Z61" s="7" t="e">
        <f ca="1">'Summary Stats'!N11</f>
        <v>#REF!</v>
      </c>
      <c r="AA61" s="7" t="e">
        <f ca="1">'Summary Stats'!O11</f>
        <v>#REF!</v>
      </c>
      <c r="AB61" s="7" t="e">
        <f ca="1">'Summary Stats'!P11</f>
        <v>#REF!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</row>
    <row r="69" spans="1:25" s="3" customFormat="1" ht="16.8" customHeight="1" x14ac:dyDescent="0.4">
      <c r="A69" s="25"/>
      <c r="B69" s="25"/>
      <c r="C69" s="26"/>
      <c r="D69" s="9" t="s">
        <v>44</v>
      </c>
      <c r="E69" s="7"/>
      <c r="F69" s="7"/>
      <c r="G69" s="7"/>
      <c r="H69" s="7"/>
      <c r="I69" s="7"/>
      <c r="J69" s="7"/>
      <c r="K69" s="7"/>
      <c r="L69" s="7"/>
      <c r="M69" s="7"/>
      <c r="N69" s="5"/>
      <c r="O69" s="10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s="3" customFormat="1" ht="16.8" customHeight="1" x14ac:dyDescent="0.4">
      <c r="A70" s="25"/>
      <c r="B70" s="25"/>
      <c r="C70" s="26"/>
      <c r="D70" s="11"/>
      <c r="E70" s="5"/>
      <c r="F70" s="5"/>
      <c r="G70" s="5"/>
      <c r="H70" s="5"/>
      <c r="I70" s="5"/>
      <c r="J70" s="5"/>
      <c r="K70" s="5"/>
      <c r="L70" s="5"/>
      <c r="M70" s="5"/>
      <c r="N70" s="5"/>
      <c r="O70" s="12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s="3" customFormat="1" ht="16.8" customHeight="1" x14ac:dyDescent="0.4">
      <c r="A71" s="25"/>
      <c r="B71" s="25"/>
      <c r="C71" s="26"/>
      <c r="D71" s="11"/>
      <c r="E71" s="5"/>
      <c r="F71" s="5"/>
      <c r="G71" s="5"/>
      <c r="H71" s="5"/>
      <c r="I71" s="5"/>
      <c r="J71" s="5"/>
      <c r="K71" s="5"/>
      <c r="L71" s="5"/>
      <c r="M71" s="5"/>
      <c r="N71" s="5"/>
      <c r="O71" s="12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s="3" customFormat="1" ht="16.8" customHeight="1" x14ac:dyDescent="0.4">
      <c r="A72" s="25"/>
      <c r="B72" s="25"/>
      <c r="C72" s="26"/>
      <c r="D72" s="11"/>
      <c r="E72" s="5"/>
      <c r="F72" s="5"/>
      <c r="G72" s="5"/>
      <c r="H72" s="5"/>
      <c r="I72" s="5"/>
      <c r="J72" s="5"/>
      <c r="K72" s="5"/>
      <c r="L72" s="5"/>
      <c r="M72" s="5"/>
      <c r="N72" s="5"/>
      <c r="O72" s="12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s="3" customFormat="1" ht="16.8" customHeight="1" x14ac:dyDescent="0.4">
      <c r="A73" s="25"/>
      <c r="B73" s="25"/>
      <c r="C73" s="26"/>
      <c r="D73" s="11"/>
      <c r="E73" s="5"/>
      <c r="F73" s="5"/>
      <c r="G73" s="5"/>
      <c r="H73" s="5"/>
      <c r="I73" s="5"/>
      <c r="J73" s="5"/>
      <c r="K73" s="5"/>
      <c r="L73" s="5"/>
      <c r="M73" s="5"/>
      <c r="N73" s="5"/>
      <c r="O73" s="12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s="3" customFormat="1" ht="16.8" customHeight="1" x14ac:dyDescent="0.4">
      <c r="A74" s="25"/>
      <c r="B74" s="25"/>
      <c r="C74" s="26"/>
      <c r="D74" s="11"/>
      <c r="E74" s="5"/>
      <c r="F74" s="5"/>
      <c r="G74" s="5"/>
      <c r="H74" s="5"/>
      <c r="I74" s="5"/>
      <c r="J74" s="5"/>
      <c r="K74" s="5"/>
      <c r="L74" s="5"/>
      <c r="M74" s="5"/>
      <c r="N74" s="5"/>
      <c r="O74" s="12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s="3" customFormat="1" ht="16.8" customHeight="1" x14ac:dyDescent="0.4">
      <c r="A75" s="25"/>
      <c r="B75" s="25"/>
      <c r="C75" s="26"/>
      <c r="D75" s="11"/>
      <c r="E75" s="5"/>
      <c r="F75" s="5"/>
      <c r="G75" s="5"/>
      <c r="H75" s="5"/>
      <c r="I75" s="5"/>
      <c r="J75" s="5"/>
      <c r="K75" s="5"/>
      <c r="L75" s="5"/>
      <c r="M75" s="5"/>
      <c r="N75" s="5"/>
      <c r="O75" s="12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s="3" customFormat="1" ht="16.8" customHeight="1" x14ac:dyDescent="0.4">
      <c r="A76" s="25"/>
      <c r="B76" s="25"/>
      <c r="C76" s="26"/>
      <c r="D76" s="11"/>
      <c r="E76" s="5"/>
      <c r="F76" s="5"/>
      <c r="G76" s="5"/>
      <c r="H76" s="5"/>
      <c r="I76" s="5"/>
      <c r="J76" s="5"/>
      <c r="K76" s="5"/>
      <c r="L76" s="5"/>
      <c r="M76" s="5"/>
      <c r="N76" s="5"/>
      <c r="O76" s="12"/>
      <c r="P76" s="5"/>
      <c r="Q76" s="5"/>
      <c r="R76" s="5"/>
      <c r="S76" s="5"/>
      <c r="T76" s="5"/>
      <c r="U76" s="5"/>
      <c r="V76" s="5"/>
      <c r="W76" s="5"/>
      <c r="X76" s="5"/>
    </row>
    <row r="77" spans="1:25" s="3" customFormat="1" ht="16.8" customHeight="1" x14ac:dyDescent="0.4">
      <c r="A77" s="25"/>
      <c r="B77" s="25"/>
      <c r="C77" s="26"/>
      <c r="D77" s="11"/>
      <c r="E77" s="5"/>
      <c r="F77" s="5"/>
      <c r="G77" s="5"/>
      <c r="H77" s="5"/>
      <c r="I77" s="5"/>
      <c r="J77" s="5"/>
      <c r="K77" s="5"/>
      <c r="L77" s="5"/>
      <c r="M77" s="5"/>
      <c r="N77" s="5"/>
      <c r="O77" s="12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s="3" customFormat="1" ht="16.8" customHeight="1" x14ac:dyDescent="0.4">
      <c r="A78" s="25"/>
      <c r="B78" s="25"/>
      <c r="C78" s="26"/>
      <c r="D78" s="11"/>
      <c r="E78" s="5"/>
      <c r="F78" s="5"/>
      <c r="G78" s="5"/>
      <c r="H78" s="5"/>
      <c r="I78" s="5"/>
      <c r="J78" s="5"/>
      <c r="K78" s="5"/>
      <c r="L78" s="5"/>
      <c r="M78" s="5"/>
      <c r="N78" s="5"/>
      <c r="O78" s="12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s="3" customFormat="1" ht="16.8" customHeight="1" x14ac:dyDescent="0.4">
      <c r="A79" s="25"/>
      <c r="B79" s="25"/>
      <c r="C79" s="26"/>
      <c r="D79" s="11"/>
      <c r="E79" s="5"/>
      <c r="F79" s="5"/>
      <c r="G79" s="5"/>
      <c r="H79" s="5"/>
      <c r="I79" s="5"/>
      <c r="J79" s="5"/>
      <c r="K79" s="5"/>
      <c r="L79" s="5"/>
      <c r="M79" s="5"/>
      <c r="N79" s="5"/>
      <c r="O79" s="12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s="3" customFormat="1" ht="16.8" customHeight="1" x14ac:dyDescent="0.4">
      <c r="A80" s="25"/>
      <c r="B80" s="25"/>
      <c r="C80" s="26"/>
      <c r="D80" s="11"/>
      <c r="E80" s="5"/>
      <c r="F80" s="5"/>
      <c r="G80" s="5"/>
      <c r="H80" s="5"/>
      <c r="I80" s="5"/>
      <c r="J80" s="5"/>
      <c r="K80" s="5"/>
      <c r="L80" s="5"/>
      <c r="M80" s="5"/>
      <c r="N80" s="5"/>
      <c r="O80" s="12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s="3" customFormat="1" ht="16.8" customHeight="1" x14ac:dyDescent="0.4">
      <c r="A81" s="25"/>
      <c r="B81" s="25"/>
      <c r="C81" s="26"/>
      <c r="D81" s="11"/>
      <c r="E81" s="5"/>
      <c r="F81" s="5"/>
      <c r="G81" s="5"/>
      <c r="H81" s="5"/>
      <c r="I81" s="5"/>
      <c r="J81" s="5"/>
      <c r="K81" s="5"/>
      <c r="L81" s="5"/>
      <c r="M81" s="5"/>
      <c r="N81" s="5"/>
      <c r="O81" s="12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s="3" customFormat="1" ht="16.8" customHeight="1" x14ac:dyDescent="0.4">
      <c r="A82" s="25"/>
      <c r="B82" s="25"/>
      <c r="C82" s="26"/>
      <c r="D82" s="11"/>
      <c r="E82" s="5"/>
      <c r="F82" s="5"/>
      <c r="G82" s="5"/>
      <c r="H82" s="5"/>
      <c r="I82" s="5"/>
      <c r="J82" s="5"/>
      <c r="K82" s="5"/>
      <c r="L82" s="5"/>
      <c r="M82" s="5"/>
      <c r="N82" s="5"/>
      <c r="O82" s="12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s="3" customFormat="1" ht="16.8" customHeight="1" x14ac:dyDescent="0.4">
      <c r="A83" s="25"/>
      <c r="B83" s="25"/>
      <c r="C83" s="26"/>
      <c r="D83" s="11"/>
      <c r="E83" s="5"/>
      <c r="F83" s="5"/>
      <c r="G83" s="5"/>
      <c r="H83" s="5"/>
      <c r="I83" s="5"/>
      <c r="J83" s="5"/>
      <c r="K83" s="5"/>
      <c r="L83" s="5"/>
      <c r="M83" s="5"/>
      <c r="N83" s="5"/>
      <c r="O83" s="12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s="3" customFormat="1" ht="16.8" customHeight="1" x14ac:dyDescent="0.4">
      <c r="A84" s="25"/>
      <c r="B84" s="25"/>
      <c r="C84" s="26"/>
      <c r="D84" s="11"/>
      <c r="E84" s="5"/>
      <c r="F84" s="5"/>
      <c r="G84" s="5"/>
      <c r="H84" s="5"/>
      <c r="I84" s="5"/>
      <c r="J84" s="5"/>
      <c r="K84" s="5"/>
      <c r="L84" s="5"/>
      <c r="M84" s="5"/>
      <c r="N84" s="5"/>
      <c r="O84" s="12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s="3" customFormat="1" ht="16.8" customHeight="1" x14ac:dyDescent="0.4">
      <c r="A85" s="25"/>
      <c r="B85" s="25"/>
      <c r="C85" s="26"/>
      <c r="D85" s="11"/>
      <c r="E85" s="5"/>
      <c r="F85" s="5"/>
      <c r="G85" s="5"/>
      <c r="H85" s="5"/>
      <c r="I85" s="5"/>
      <c r="J85" s="5"/>
      <c r="K85" s="5"/>
      <c r="L85" s="5"/>
      <c r="M85" s="5"/>
      <c r="N85" s="5"/>
      <c r="O85" s="12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6.8" customHeight="1" x14ac:dyDescent="0.4"/>
    <row r="87" spans="1:25" ht="16.8" customHeight="1" x14ac:dyDescent="0.4"/>
    <row r="88" spans="1:25" ht="16.8" customHeight="1" x14ac:dyDescent="0.4"/>
    <row r="101" spans="2:29" ht="30" customHeight="1" x14ac:dyDescent="0.55000000000000004">
      <c r="B101" s="25"/>
      <c r="C101" s="26"/>
      <c r="D101" s="1" t="s">
        <v>15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3"/>
      <c r="Z101" s="3"/>
      <c r="AA101" s="3"/>
      <c r="AB101" s="3"/>
      <c r="AC101" s="3"/>
    </row>
    <row r="102" spans="2:29" ht="16.5" customHeight="1" x14ac:dyDescent="0.55000000000000004">
      <c r="B102" s="25"/>
      <c r="C102" s="26"/>
      <c r="D102" s="17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2:29" ht="16.5" customHeight="1" x14ac:dyDescent="0.4">
      <c r="B103" s="25"/>
      <c r="C103" s="26"/>
      <c r="D103" s="9" t="s">
        <v>47</v>
      </c>
      <c r="E103" s="7"/>
      <c r="F103" s="7"/>
      <c r="G103" s="7"/>
      <c r="H103" s="7"/>
      <c r="I103" s="7"/>
      <c r="J103" s="7"/>
      <c r="K103" s="7"/>
      <c r="L103" s="7"/>
      <c r="M103" s="7"/>
      <c r="O103" s="9" t="s">
        <v>54</v>
      </c>
      <c r="P103" s="7"/>
      <c r="Q103" s="7"/>
      <c r="R103" s="7"/>
      <c r="S103" s="7"/>
      <c r="T103" s="7"/>
      <c r="U103" s="7"/>
      <c r="V103" s="7"/>
      <c r="W103" s="7"/>
      <c r="X103" s="7"/>
      <c r="Z103" s="3"/>
      <c r="AA103" s="3"/>
      <c r="AB103" s="3"/>
      <c r="AC103" s="3"/>
    </row>
    <row r="105" spans="2:29" ht="16.5" customHeight="1" x14ac:dyDescent="0.4">
      <c r="I105" s="14"/>
      <c r="J105" s="14"/>
      <c r="K105" s="18"/>
      <c r="L105" s="14"/>
      <c r="M105" s="14"/>
      <c r="N105" s="14"/>
      <c r="O105" s="13" t="s">
        <v>16</v>
      </c>
      <c r="P105" s="13">
        <v>2023</v>
      </c>
      <c r="Q105" s="13">
        <v>2024</v>
      </c>
      <c r="R105" s="13">
        <v>2025</v>
      </c>
      <c r="S105" s="13">
        <v>2026</v>
      </c>
      <c r="T105" s="13">
        <v>2027</v>
      </c>
      <c r="U105" s="13">
        <v>2028</v>
      </c>
      <c r="V105" s="13">
        <v>2029</v>
      </c>
      <c r="W105" s="13">
        <v>2030</v>
      </c>
      <c r="X105" s="13">
        <v>2031</v>
      </c>
      <c r="Y105" s="13">
        <v>2032</v>
      </c>
      <c r="Z105" s="13">
        <v>2033</v>
      </c>
      <c r="AA105" s="13">
        <v>2034</v>
      </c>
      <c r="AB105" s="13">
        <v>2035</v>
      </c>
    </row>
    <row r="106" spans="2:29" ht="16.5" customHeight="1" x14ac:dyDescent="0.4">
      <c r="I106" s="14"/>
      <c r="J106" s="14"/>
      <c r="K106" s="14"/>
      <c r="L106" s="14"/>
      <c r="M106" s="14"/>
      <c r="N106" s="14"/>
      <c r="O106" s="4" t="s">
        <v>8</v>
      </c>
      <c r="V106" s="14"/>
      <c r="W106" s="14"/>
      <c r="X106" s="14"/>
    </row>
    <row r="107" spans="2:29" ht="16.5" customHeight="1" x14ac:dyDescent="0.4">
      <c r="I107" s="14"/>
      <c r="J107" s="14"/>
      <c r="K107" s="14"/>
      <c r="L107" s="14"/>
      <c r="M107" s="14"/>
      <c r="N107" s="14"/>
      <c r="O107" s="5" t="s">
        <v>9</v>
      </c>
      <c r="P107" s="15" t="e">
        <f ca="1">Summary_Cost!B2</f>
        <v>#REF!</v>
      </c>
      <c r="Q107" s="15" t="e">
        <f ca="1">Summary_Cost!C2</f>
        <v>#REF!</v>
      </c>
      <c r="R107" s="15" t="e">
        <f ca="1">Summary_Cost!D2</f>
        <v>#REF!</v>
      </c>
      <c r="S107" s="15" t="e">
        <f ca="1">Summary_Cost!E2</f>
        <v>#REF!</v>
      </c>
      <c r="T107" s="15" t="e">
        <f ca="1">Summary_Cost!F2</f>
        <v>#REF!</v>
      </c>
      <c r="U107" s="15" t="e">
        <f ca="1">Summary_Cost!G2</f>
        <v>#REF!</v>
      </c>
      <c r="V107" s="15" t="e">
        <f ca="1">Summary_Cost!H2</f>
        <v>#REF!</v>
      </c>
      <c r="W107" s="15" t="e">
        <f ca="1">Summary_Cost!I2</f>
        <v>#REF!</v>
      </c>
      <c r="X107" s="15" t="e">
        <f ca="1">Summary_Cost!J2</f>
        <v>#REF!</v>
      </c>
      <c r="Y107" s="15" t="e">
        <f ca="1">Summary_Cost!K2</f>
        <v>#REF!</v>
      </c>
      <c r="Z107" s="15" t="e">
        <f ca="1">Summary_Cost!L2</f>
        <v>#REF!</v>
      </c>
      <c r="AA107" s="15" t="e">
        <f ca="1">Summary_Cost!M2</f>
        <v>#REF!</v>
      </c>
      <c r="AB107" s="15" t="e">
        <f ca="1">Summary_Cost!N2</f>
        <v>#REF!</v>
      </c>
    </row>
    <row r="108" spans="2:29" ht="16.5" customHeight="1" x14ac:dyDescent="0.4">
      <c r="I108" s="14"/>
      <c r="J108" s="14"/>
      <c r="K108" s="14"/>
      <c r="L108" s="14"/>
      <c r="M108" s="14"/>
      <c r="N108" s="14"/>
      <c r="O108" s="5" t="s">
        <v>10</v>
      </c>
      <c r="P108" s="15" t="e">
        <f ca="1">Summary_Cost!B3</f>
        <v>#REF!</v>
      </c>
      <c r="Q108" s="15" t="e">
        <f ca="1">Summary_Cost!C3</f>
        <v>#REF!</v>
      </c>
      <c r="R108" s="15" t="e">
        <f ca="1">Summary_Cost!D3</f>
        <v>#REF!</v>
      </c>
      <c r="S108" s="15" t="e">
        <f ca="1">Summary_Cost!E3</f>
        <v>#REF!</v>
      </c>
      <c r="T108" s="15" t="e">
        <f ca="1">Summary_Cost!F3</f>
        <v>#REF!</v>
      </c>
      <c r="U108" s="15" t="e">
        <f ca="1">Summary_Cost!G3</f>
        <v>#REF!</v>
      </c>
      <c r="V108" s="15" t="e">
        <f ca="1">Summary_Cost!H3</f>
        <v>#REF!</v>
      </c>
      <c r="W108" s="15" t="e">
        <f ca="1">Summary_Cost!I3</f>
        <v>#REF!</v>
      </c>
      <c r="X108" s="15" t="e">
        <f ca="1">Summary_Cost!J3</f>
        <v>#REF!</v>
      </c>
      <c r="Y108" s="15" t="e">
        <f ca="1">Summary_Cost!K3</f>
        <v>#REF!</v>
      </c>
      <c r="Z108" s="15" t="e">
        <f ca="1">Summary_Cost!L3</f>
        <v>#REF!</v>
      </c>
      <c r="AA108" s="15" t="e">
        <f ca="1">Summary_Cost!M3</f>
        <v>#REF!</v>
      </c>
      <c r="AB108" s="15" t="e">
        <f ca="1">Summary_Cost!N3</f>
        <v>#REF!</v>
      </c>
    </row>
    <row r="109" spans="2:29" ht="16.5" customHeight="1" x14ac:dyDescent="0.4">
      <c r="I109" s="14"/>
      <c r="J109" s="14"/>
      <c r="K109" s="14"/>
      <c r="L109" s="14"/>
      <c r="M109" s="14"/>
      <c r="N109" s="14"/>
      <c r="O109" s="5" t="s">
        <v>11</v>
      </c>
      <c r="P109" s="15" t="e">
        <f ca="1">Summary_Cost!B4</f>
        <v>#REF!</v>
      </c>
      <c r="Q109" s="15" t="e">
        <f ca="1">Summary_Cost!C4</f>
        <v>#REF!</v>
      </c>
      <c r="R109" s="15" t="e">
        <f ca="1">Summary_Cost!D4</f>
        <v>#REF!</v>
      </c>
      <c r="S109" s="15" t="e">
        <f ca="1">Summary_Cost!E4</f>
        <v>#REF!</v>
      </c>
      <c r="T109" s="15" t="e">
        <f ca="1">Summary_Cost!F4</f>
        <v>#REF!</v>
      </c>
      <c r="U109" s="15" t="e">
        <f ca="1">Summary_Cost!G4</f>
        <v>#REF!</v>
      </c>
      <c r="V109" s="15" t="e">
        <f ca="1">Summary_Cost!H4</f>
        <v>#REF!</v>
      </c>
      <c r="W109" s="15" t="e">
        <f ca="1">Summary_Cost!I4</f>
        <v>#REF!</v>
      </c>
      <c r="X109" s="15" t="e">
        <f ca="1">Summary_Cost!J4</f>
        <v>#REF!</v>
      </c>
      <c r="Y109" s="15" t="e">
        <f ca="1">Summary_Cost!K4</f>
        <v>#REF!</v>
      </c>
      <c r="Z109" s="15" t="e">
        <f ca="1">Summary_Cost!L4</f>
        <v>#REF!</v>
      </c>
      <c r="AA109" s="15" t="e">
        <f ca="1">Summary_Cost!M4</f>
        <v>#REF!</v>
      </c>
      <c r="AB109" s="15" t="e">
        <f ca="1">Summary_Cost!N4</f>
        <v>#REF!</v>
      </c>
    </row>
    <row r="110" spans="2:29" ht="16.5" customHeight="1" x14ac:dyDescent="0.4">
      <c r="I110" s="14"/>
      <c r="J110" s="14"/>
      <c r="K110" s="14"/>
      <c r="L110" s="14"/>
      <c r="M110" s="14"/>
      <c r="N110" s="14"/>
      <c r="O110" s="5" t="s">
        <v>12</v>
      </c>
      <c r="P110" s="15" t="e">
        <f ca="1">Summary_Cost!B5</f>
        <v>#REF!</v>
      </c>
      <c r="Q110" s="15" t="e">
        <f ca="1">Summary_Cost!C5</f>
        <v>#REF!</v>
      </c>
      <c r="R110" s="15" t="e">
        <f ca="1">Summary_Cost!D5</f>
        <v>#REF!</v>
      </c>
      <c r="S110" s="15" t="e">
        <f ca="1">Summary_Cost!E5</f>
        <v>#REF!</v>
      </c>
      <c r="T110" s="15" t="e">
        <f ca="1">Summary_Cost!F5</f>
        <v>#REF!</v>
      </c>
      <c r="U110" s="15" t="e">
        <f ca="1">Summary_Cost!G5</f>
        <v>#REF!</v>
      </c>
      <c r="V110" s="15" t="e">
        <f ca="1">Summary_Cost!H5</f>
        <v>#REF!</v>
      </c>
      <c r="W110" s="15" t="e">
        <f ca="1">Summary_Cost!I5</f>
        <v>#REF!</v>
      </c>
      <c r="X110" s="15" t="e">
        <f ca="1">Summary_Cost!J5</f>
        <v>#REF!</v>
      </c>
      <c r="Y110" s="15" t="e">
        <f ca="1">Summary_Cost!K5</f>
        <v>#REF!</v>
      </c>
      <c r="Z110" s="15" t="e">
        <f ca="1">Summary_Cost!L5</f>
        <v>#REF!</v>
      </c>
      <c r="AA110" s="15" t="e">
        <f ca="1">Summary_Cost!M5</f>
        <v>#REF!</v>
      </c>
      <c r="AB110" s="15" t="e">
        <f ca="1">Summary_Cost!N5</f>
        <v>#REF!</v>
      </c>
    </row>
    <row r="111" spans="2:29" ht="16.5" customHeight="1" x14ac:dyDescent="0.4">
      <c r="I111" s="14"/>
      <c r="J111" s="14"/>
      <c r="K111" s="14"/>
      <c r="L111" s="14"/>
      <c r="M111" s="14"/>
      <c r="N111" s="14"/>
      <c r="O111" s="7" t="s">
        <v>13</v>
      </c>
      <c r="P111" s="28" t="e">
        <f ca="1">Summary_Cost!B6</f>
        <v>#REF!</v>
      </c>
      <c r="Q111" s="28" t="e">
        <f ca="1">Summary_Cost!C6</f>
        <v>#REF!</v>
      </c>
      <c r="R111" s="28" t="e">
        <f ca="1">Summary_Cost!D6</f>
        <v>#REF!</v>
      </c>
      <c r="S111" s="28" t="e">
        <f ca="1">Summary_Cost!E6</f>
        <v>#REF!</v>
      </c>
      <c r="T111" s="28" t="e">
        <f ca="1">Summary_Cost!F6</f>
        <v>#REF!</v>
      </c>
      <c r="U111" s="28" t="e">
        <f ca="1">Summary_Cost!G6</f>
        <v>#REF!</v>
      </c>
      <c r="V111" s="28" t="e">
        <f ca="1">Summary_Cost!H6</f>
        <v>#REF!</v>
      </c>
      <c r="W111" s="28" t="e">
        <f ca="1">Summary_Cost!I6</f>
        <v>#REF!</v>
      </c>
      <c r="X111" s="28" t="e">
        <f ca="1">Summary_Cost!J6</f>
        <v>#REF!</v>
      </c>
      <c r="Y111" s="28" t="e">
        <f ca="1">Summary_Cost!K6</f>
        <v>#REF!</v>
      </c>
      <c r="Z111" s="28" t="e">
        <f ca="1">Summary_Cost!L6</f>
        <v>#REF!</v>
      </c>
      <c r="AA111" s="28" t="e">
        <f ca="1">Summary_Cost!M6</f>
        <v>#REF!</v>
      </c>
      <c r="AB111" s="28" t="e">
        <f ca="1">Summary_Cost!N6</f>
        <v>#REF!</v>
      </c>
    </row>
    <row r="112" spans="2:29" ht="16.5" customHeight="1" x14ac:dyDescent="0.4">
      <c r="I112" s="14"/>
      <c r="J112" s="14"/>
      <c r="K112" s="14"/>
      <c r="L112" s="14"/>
      <c r="M112" s="14"/>
      <c r="N112" s="14"/>
      <c r="O112" s="30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</row>
    <row r="113" spans="2:29" ht="16.5" customHeight="1" x14ac:dyDescent="0.4">
      <c r="I113" s="14"/>
      <c r="J113" s="14"/>
      <c r="K113" s="14"/>
      <c r="L113" s="14"/>
      <c r="M113" s="14"/>
      <c r="N113" s="14"/>
      <c r="O113" s="14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</row>
    <row r="114" spans="2:29" ht="16.5" customHeight="1" x14ac:dyDescent="0.4">
      <c r="I114" s="14"/>
      <c r="J114" s="14"/>
      <c r="K114" s="14"/>
      <c r="L114" s="14"/>
      <c r="M114" s="14"/>
      <c r="N114" s="14"/>
      <c r="O114" s="14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</row>
    <row r="115" spans="2:29" ht="16.5" customHeight="1" x14ac:dyDescent="0.4">
      <c r="I115" s="14"/>
      <c r="J115" s="14"/>
      <c r="K115" s="14"/>
      <c r="L115" s="14"/>
      <c r="M115" s="14"/>
      <c r="N115" s="14"/>
      <c r="O115" s="14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</row>
    <row r="116" spans="2:29" ht="16.5" customHeight="1" x14ac:dyDescent="0.4">
      <c r="I116" s="14"/>
      <c r="J116" s="14"/>
      <c r="K116" s="14"/>
      <c r="L116" s="14"/>
      <c r="M116" s="14"/>
      <c r="N116" s="14"/>
      <c r="O116" s="14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</row>
    <row r="117" spans="2:29" ht="16.5" customHeight="1" x14ac:dyDescent="0.4">
      <c r="I117" s="14"/>
      <c r="J117" s="14"/>
      <c r="K117" s="14"/>
      <c r="L117" s="14"/>
      <c r="M117" s="14"/>
      <c r="N117" s="14"/>
      <c r="O117" s="14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</row>
    <row r="118" spans="2:29" ht="16.5" customHeight="1" x14ac:dyDescent="0.4"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 spans="2:29" ht="16.5" hidden="1" customHeight="1" x14ac:dyDescent="0.4">
      <c r="B119" s="25"/>
      <c r="C119" s="26"/>
      <c r="D119" s="9" t="s">
        <v>17</v>
      </c>
      <c r="E119" s="7"/>
      <c r="F119" s="7"/>
      <c r="G119" s="7"/>
      <c r="H119" s="7"/>
      <c r="I119" s="7"/>
      <c r="J119" s="7"/>
      <c r="K119" s="7"/>
      <c r="L119" s="7"/>
      <c r="M119" s="7"/>
      <c r="O119" s="9" t="s">
        <v>18</v>
      </c>
      <c r="P119" s="7"/>
      <c r="Q119" s="7"/>
      <c r="R119" s="7"/>
      <c r="S119" s="7"/>
      <c r="T119" s="7"/>
      <c r="U119" s="7"/>
      <c r="V119" s="7"/>
      <c r="W119" s="7"/>
      <c r="X119" s="7"/>
      <c r="Z119" s="3"/>
      <c r="AA119" s="3"/>
      <c r="AB119" s="3"/>
      <c r="AC119" s="3"/>
    </row>
    <row r="120" spans="2:29" ht="16.5" hidden="1" customHeight="1" x14ac:dyDescent="0.4"/>
    <row r="121" spans="2:29" ht="16.5" hidden="1" customHeight="1" x14ac:dyDescent="0.4">
      <c r="I121" s="14"/>
      <c r="J121" s="14"/>
      <c r="K121" s="18"/>
      <c r="L121" s="14"/>
      <c r="M121" s="14"/>
      <c r="N121" s="14"/>
      <c r="V121" s="18"/>
      <c r="W121" s="14"/>
      <c r="X121" s="14"/>
    </row>
    <row r="122" spans="2:29" ht="16.5" hidden="1" customHeight="1" x14ac:dyDescent="0.4">
      <c r="I122" s="14"/>
      <c r="J122" s="14"/>
      <c r="K122" s="14"/>
      <c r="L122" s="14"/>
      <c r="M122" s="14"/>
      <c r="N122" s="14"/>
      <c r="V122" s="14"/>
      <c r="W122" s="14"/>
      <c r="X122" s="14"/>
    </row>
    <row r="123" spans="2:29" ht="16.5" hidden="1" customHeight="1" x14ac:dyDescent="0.4">
      <c r="I123" s="14"/>
      <c r="J123" s="14"/>
      <c r="K123" s="14"/>
      <c r="L123" s="14"/>
      <c r="M123" s="14"/>
      <c r="N123" s="14"/>
      <c r="V123" s="14"/>
      <c r="W123" s="14"/>
      <c r="X123" s="14"/>
    </row>
    <row r="124" spans="2:29" ht="16.5" hidden="1" customHeight="1" x14ac:dyDescent="0.4">
      <c r="I124" s="14"/>
      <c r="J124" s="14"/>
      <c r="K124" s="14"/>
      <c r="L124" s="14"/>
      <c r="M124" s="14"/>
      <c r="N124" s="14"/>
      <c r="V124" s="14"/>
      <c r="W124" s="14"/>
      <c r="X124" s="14"/>
    </row>
    <row r="125" spans="2:29" ht="16.5" hidden="1" customHeight="1" x14ac:dyDescent="0.4">
      <c r="I125" s="14"/>
      <c r="J125" s="14"/>
      <c r="K125" s="14"/>
      <c r="L125" s="14"/>
      <c r="M125" s="14"/>
      <c r="N125" s="14"/>
      <c r="V125" s="14"/>
      <c r="W125" s="14"/>
      <c r="X125" s="14"/>
    </row>
    <row r="126" spans="2:29" ht="16.5" hidden="1" customHeight="1" x14ac:dyDescent="0.4">
      <c r="I126" s="14"/>
      <c r="J126" s="14"/>
      <c r="K126" s="14"/>
      <c r="L126" s="14"/>
      <c r="M126" s="14"/>
      <c r="N126" s="14"/>
      <c r="V126" s="14"/>
      <c r="W126" s="14"/>
      <c r="X126" s="14"/>
    </row>
    <row r="127" spans="2:29" ht="16.5" hidden="1" customHeight="1" x14ac:dyDescent="0.4">
      <c r="I127" s="14"/>
      <c r="J127" s="14"/>
      <c r="K127" s="14"/>
      <c r="L127" s="14"/>
      <c r="M127" s="14"/>
      <c r="N127" s="14"/>
      <c r="V127" s="14"/>
      <c r="W127" s="14"/>
      <c r="X127" s="14"/>
    </row>
    <row r="128" spans="2:29" ht="16.5" hidden="1" customHeight="1" x14ac:dyDescent="0.4">
      <c r="I128" s="14"/>
      <c r="J128" s="14"/>
      <c r="K128" s="14"/>
      <c r="L128" s="14"/>
      <c r="M128" s="14"/>
      <c r="N128" s="14"/>
      <c r="V128" s="14"/>
      <c r="W128" s="14"/>
      <c r="X128" s="14"/>
    </row>
    <row r="129" spans="1:28" ht="16.5" hidden="1" customHeight="1" x14ac:dyDescent="0.4">
      <c r="I129" s="14"/>
      <c r="J129" s="14"/>
      <c r="K129" s="14"/>
      <c r="L129" s="14"/>
      <c r="M129" s="14"/>
      <c r="N129" s="14"/>
      <c r="V129" s="14"/>
      <c r="W129" s="14"/>
      <c r="X129" s="14"/>
    </row>
    <row r="130" spans="1:28" ht="16.5" hidden="1" customHeight="1" x14ac:dyDescent="0.4">
      <c r="I130" s="14"/>
      <c r="J130" s="14"/>
      <c r="K130" s="14"/>
      <c r="L130" s="14"/>
      <c r="M130" s="14"/>
      <c r="N130" s="14"/>
      <c r="V130" s="14"/>
      <c r="W130" s="14"/>
      <c r="X130" s="14"/>
    </row>
    <row r="131" spans="1:28" ht="16.5" hidden="1" customHeight="1" x14ac:dyDescent="0.4">
      <c r="I131" s="14"/>
      <c r="J131" s="14"/>
      <c r="K131" s="14"/>
      <c r="L131" s="14"/>
      <c r="M131" s="14"/>
      <c r="N131" s="14"/>
      <c r="V131" s="14"/>
      <c r="W131" s="14"/>
      <c r="X131" s="14"/>
    </row>
    <row r="132" spans="1:28" ht="16.5" hidden="1" customHeight="1" x14ac:dyDescent="0.4">
      <c r="I132" s="14"/>
      <c r="J132" s="14"/>
      <c r="K132" s="14"/>
      <c r="L132" s="14"/>
      <c r="M132" s="14"/>
      <c r="N132" s="14"/>
      <c r="V132" s="14"/>
      <c r="W132" s="14"/>
      <c r="X132" s="14"/>
    </row>
    <row r="133" spans="1:28" ht="16.5" hidden="1" customHeight="1" x14ac:dyDescent="0.4">
      <c r="I133" s="14"/>
      <c r="J133" s="14"/>
      <c r="K133" s="14"/>
      <c r="L133" s="14"/>
      <c r="M133" s="14"/>
      <c r="N133" s="14"/>
      <c r="V133" s="14"/>
      <c r="W133" s="14"/>
      <c r="X133" s="14"/>
    </row>
    <row r="134" spans="1:28" ht="16.5" hidden="1" customHeight="1" x14ac:dyDescent="0.4">
      <c r="I134" s="14"/>
      <c r="J134" s="14"/>
      <c r="K134" s="14"/>
      <c r="L134" s="14"/>
      <c r="M134" s="14"/>
      <c r="N134" s="14"/>
    </row>
    <row r="135" spans="1:28" ht="16.5" hidden="1" customHeight="1" x14ac:dyDescent="0.4">
      <c r="I135" s="14"/>
      <c r="J135" s="14"/>
      <c r="K135" s="14"/>
      <c r="L135" s="14"/>
      <c r="M135" s="14"/>
      <c r="N135" s="14"/>
    </row>
    <row r="136" spans="1:28" s="3" customFormat="1" ht="24.6" hidden="1" customHeight="1" x14ac:dyDescent="0.55000000000000004">
      <c r="A136" s="25"/>
      <c r="B136" s="25"/>
      <c r="C136" s="26"/>
      <c r="D136" s="1" t="s">
        <v>19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8" s="3" customFormat="1" ht="15" hidden="1" customHeight="1" x14ac:dyDescent="0.35">
      <c r="A137" s="25"/>
      <c r="B137" s="25"/>
      <c r="C137" s="26"/>
    </row>
    <row r="138" spans="1:28" s="3" customFormat="1" ht="16.8" hidden="1" customHeight="1" x14ac:dyDescent="0.4">
      <c r="A138" s="25"/>
      <c r="B138" s="25"/>
      <c r="C138" s="26"/>
      <c r="D138" s="9" t="s">
        <v>20</v>
      </c>
      <c r="E138" s="7"/>
      <c r="F138" s="7"/>
      <c r="G138" s="7"/>
      <c r="H138" s="7"/>
      <c r="I138" s="7"/>
      <c r="J138" s="7"/>
      <c r="K138" s="7"/>
      <c r="L138" s="7"/>
      <c r="M138" s="7"/>
      <c r="N138" s="5"/>
      <c r="O138" s="9" t="s">
        <v>21</v>
      </c>
      <c r="P138" s="7"/>
      <c r="Q138" s="7"/>
      <c r="R138" s="7"/>
      <c r="S138" s="7"/>
      <c r="T138" s="7"/>
      <c r="U138" s="7"/>
      <c r="V138" s="7"/>
      <c r="W138" s="7"/>
      <c r="X138" s="7"/>
      <c r="Y138" s="5"/>
    </row>
    <row r="139" spans="1:28" ht="16.8" hidden="1" customHeight="1" x14ac:dyDescent="0.4"/>
    <row r="140" spans="1:28" ht="16.8" hidden="1" customHeight="1" x14ac:dyDescent="0.4">
      <c r="O140" s="13"/>
      <c r="P140" s="13">
        <v>2023</v>
      </c>
      <c r="Q140" s="13">
        <v>2024</v>
      </c>
      <c r="R140" s="13">
        <v>2025</v>
      </c>
      <c r="S140" s="13">
        <v>2026</v>
      </c>
      <c r="T140" s="13">
        <v>2027</v>
      </c>
      <c r="U140" s="13">
        <v>2028</v>
      </c>
      <c r="V140" s="13">
        <v>2029</v>
      </c>
      <c r="W140" s="13">
        <v>2030</v>
      </c>
      <c r="X140" s="13">
        <v>2031</v>
      </c>
      <c r="Y140" s="13">
        <v>2032</v>
      </c>
      <c r="Z140" s="13">
        <v>2033</v>
      </c>
      <c r="AA140" s="13">
        <v>2034</v>
      </c>
      <c r="AB140" s="13">
        <v>2035</v>
      </c>
    </row>
    <row r="141" spans="1:28" ht="16.5" hidden="1" customHeight="1" x14ac:dyDescent="0.4">
      <c r="O141" s="4" t="s">
        <v>8</v>
      </c>
      <c r="V141" s="14"/>
      <c r="W141" s="14"/>
      <c r="X141" s="14"/>
    </row>
    <row r="142" spans="1:28" ht="16.5" hidden="1" customHeight="1" x14ac:dyDescent="0.4">
      <c r="O142" s="16" t="s">
        <v>9</v>
      </c>
      <c r="P142" s="19">
        <v>21.079257500000001</v>
      </c>
      <c r="Q142" s="19">
        <v>22.702522999999999</v>
      </c>
      <c r="R142" s="19">
        <v>22.999691500000001</v>
      </c>
      <c r="S142" s="19">
        <v>23.132489</v>
      </c>
      <c r="T142" s="19">
        <v>23.415098</v>
      </c>
      <c r="U142" s="19">
        <v>23.373422999999999</v>
      </c>
      <c r="V142" s="19">
        <v>23.384957499999999</v>
      </c>
      <c r="W142" s="19">
        <v>23.524307499999999</v>
      </c>
      <c r="X142" s="19">
        <v>23.557358999999991</v>
      </c>
      <c r="Y142" s="19">
        <v>23.690861999999999</v>
      </c>
      <c r="Z142" s="19">
        <v>23.793656500000001</v>
      </c>
      <c r="AA142" s="19">
        <v>23.716975000000001</v>
      </c>
      <c r="AB142" s="19">
        <v>23.750286500000009</v>
      </c>
    </row>
    <row r="143" spans="1:28" ht="16.5" hidden="1" customHeight="1" x14ac:dyDescent="0.4">
      <c r="O143" s="4" t="s">
        <v>14</v>
      </c>
      <c r="V143" s="14"/>
      <c r="W143" s="14"/>
      <c r="X143" s="14"/>
    </row>
    <row r="144" spans="1:28" ht="16.5" hidden="1" customHeight="1" x14ac:dyDescent="0.4">
      <c r="O144" s="5" t="s">
        <v>9</v>
      </c>
      <c r="P144" s="20">
        <v>18.978104500000001</v>
      </c>
      <c r="Q144" s="20">
        <v>19.830760000000001</v>
      </c>
      <c r="R144" s="20">
        <v>20.036286</v>
      </c>
      <c r="S144" s="20">
        <v>20.552664</v>
      </c>
      <c r="T144" s="20">
        <v>20.013057499999999</v>
      </c>
      <c r="U144" s="20">
        <v>20.306761000000002</v>
      </c>
      <c r="V144" s="20">
        <v>20.685413</v>
      </c>
      <c r="W144" s="20">
        <v>20.391608999999999</v>
      </c>
      <c r="X144" s="20">
        <v>20.393045499999989</v>
      </c>
      <c r="Y144" s="20">
        <v>20.382131000000001</v>
      </c>
      <c r="Z144" s="20">
        <v>20.436215999999991</v>
      </c>
      <c r="AA144" s="20">
        <v>20.337009999999999</v>
      </c>
      <c r="AB144" s="20">
        <v>20.381086499999999</v>
      </c>
    </row>
    <row r="145" spans="1:28" ht="16.5" hidden="1" customHeight="1" x14ac:dyDescent="0.4"/>
    <row r="146" spans="1:28" ht="16.5" hidden="1" customHeight="1" x14ac:dyDescent="0.4"/>
    <row r="147" spans="1:28" ht="16.5" hidden="1" customHeight="1" x14ac:dyDescent="0.4"/>
    <row r="148" spans="1:28" ht="16.5" hidden="1" customHeight="1" x14ac:dyDescent="0.4"/>
    <row r="149" spans="1:28" ht="16.5" hidden="1" customHeight="1" x14ac:dyDescent="0.4"/>
    <row r="150" spans="1:28" ht="16.5" hidden="1" customHeight="1" x14ac:dyDescent="0.4"/>
    <row r="151" spans="1:28" ht="16.5" hidden="1" customHeight="1" x14ac:dyDescent="0.4"/>
    <row r="152" spans="1:28" ht="16.8" hidden="1" customHeight="1" x14ac:dyDescent="0.4"/>
    <row r="153" spans="1:28" ht="16.5" hidden="1" customHeight="1" x14ac:dyDescent="0.4"/>
    <row r="154" spans="1:28" s="3" customFormat="1" ht="16.8" hidden="1" customHeight="1" x14ac:dyDescent="0.4">
      <c r="A154" s="25"/>
      <c r="B154" s="25"/>
      <c r="C154" s="26"/>
      <c r="D154" s="9" t="s">
        <v>22</v>
      </c>
      <c r="E154" s="7"/>
      <c r="F154" s="7"/>
      <c r="G154" s="7"/>
      <c r="H154" s="7"/>
      <c r="I154" s="7"/>
      <c r="J154" s="7"/>
      <c r="K154" s="7"/>
      <c r="L154" s="7"/>
      <c r="M154" s="7"/>
      <c r="N154" s="5"/>
      <c r="O154" s="9" t="s">
        <v>23</v>
      </c>
      <c r="P154" s="7"/>
      <c r="Q154" s="7"/>
      <c r="R154" s="7"/>
      <c r="S154" s="7"/>
      <c r="T154" s="7"/>
      <c r="U154" s="7"/>
      <c r="V154" s="7"/>
      <c r="W154" s="7"/>
      <c r="X154" s="7"/>
      <c r="Y154" s="5"/>
    </row>
    <row r="155" spans="1:28" ht="16.8" hidden="1" customHeight="1" x14ac:dyDescent="0.4"/>
    <row r="156" spans="1:28" ht="16.8" hidden="1" customHeight="1" x14ac:dyDescent="0.4">
      <c r="O156" s="13"/>
      <c r="P156" s="13">
        <v>2023</v>
      </c>
      <c r="Q156" s="13">
        <v>2024</v>
      </c>
      <c r="R156" s="13">
        <v>2025</v>
      </c>
      <c r="S156" s="13">
        <v>2026</v>
      </c>
      <c r="T156" s="13">
        <v>2027</v>
      </c>
      <c r="U156" s="13">
        <v>2028</v>
      </c>
      <c r="V156" s="13">
        <v>2029</v>
      </c>
      <c r="W156" s="13">
        <v>2030</v>
      </c>
      <c r="X156" s="13">
        <v>2031</v>
      </c>
      <c r="Y156" s="13">
        <v>2032</v>
      </c>
      <c r="Z156" s="13">
        <v>2033</v>
      </c>
      <c r="AA156" s="13">
        <v>2034</v>
      </c>
      <c r="AB156" s="13">
        <v>2035</v>
      </c>
    </row>
    <row r="157" spans="1:28" ht="16.5" hidden="1" customHeight="1" x14ac:dyDescent="0.4">
      <c r="O157" s="4" t="s">
        <v>8</v>
      </c>
      <c r="V157" s="14"/>
      <c r="W157" s="14"/>
      <c r="X157" s="14"/>
    </row>
    <row r="158" spans="1:28" ht="16.5" hidden="1" customHeight="1" x14ac:dyDescent="0.4">
      <c r="O158" s="16" t="s">
        <v>9</v>
      </c>
      <c r="P158" s="19">
        <v>28.62698</v>
      </c>
      <c r="Q158" s="19">
        <v>32.212031000000003</v>
      </c>
      <c r="R158" s="19">
        <v>36.148660999999997</v>
      </c>
      <c r="S158" s="19">
        <v>35.924166</v>
      </c>
      <c r="T158" s="19">
        <v>36.745795999999999</v>
      </c>
      <c r="U158" s="19">
        <v>36.346734499999997</v>
      </c>
      <c r="V158" s="19">
        <v>35.888954499999997</v>
      </c>
      <c r="W158" s="19">
        <v>35.571120000000001</v>
      </c>
      <c r="X158" s="19">
        <v>35.325040500000007</v>
      </c>
      <c r="Y158" s="19">
        <v>35.503583000000013</v>
      </c>
      <c r="Z158" s="19">
        <v>34.880140500000003</v>
      </c>
      <c r="AA158" s="19">
        <v>35.554553499999997</v>
      </c>
      <c r="AB158" s="19">
        <v>34.610805499999998</v>
      </c>
    </row>
    <row r="159" spans="1:28" ht="16.5" hidden="1" customHeight="1" x14ac:dyDescent="0.4">
      <c r="O159" s="4" t="s">
        <v>14</v>
      </c>
      <c r="V159" s="14"/>
      <c r="W159" s="14"/>
      <c r="X159" s="14"/>
    </row>
    <row r="160" spans="1:28" ht="16.5" hidden="1" customHeight="1" x14ac:dyDescent="0.4">
      <c r="O160" s="5" t="s">
        <v>9</v>
      </c>
      <c r="P160" s="20">
        <v>36.176096499999993</v>
      </c>
      <c r="Q160" s="20">
        <v>37.150723999999997</v>
      </c>
      <c r="R160" s="20">
        <v>38.724394500000002</v>
      </c>
      <c r="S160" s="20">
        <v>43.401255000000013</v>
      </c>
      <c r="T160" s="20">
        <v>40.945028500000006</v>
      </c>
      <c r="U160" s="20">
        <v>40.003747500000003</v>
      </c>
      <c r="V160" s="20">
        <v>37.920008999999993</v>
      </c>
      <c r="W160" s="20">
        <v>39.332468499999997</v>
      </c>
      <c r="X160" s="20">
        <v>37.466628999999998</v>
      </c>
      <c r="Y160" s="20">
        <v>38.154811500000001</v>
      </c>
      <c r="Z160" s="20">
        <v>36.402461499999987</v>
      </c>
      <c r="AA160" s="20">
        <v>36.883852500000003</v>
      </c>
      <c r="AB160" s="20">
        <v>36.898231000000003</v>
      </c>
    </row>
    <row r="161" spans="1:28" ht="16.5" hidden="1" customHeight="1" x14ac:dyDescent="0.4"/>
    <row r="162" spans="1:28" ht="16.5" hidden="1" customHeight="1" x14ac:dyDescent="0.4"/>
    <row r="163" spans="1:28" ht="16.5" hidden="1" customHeight="1" x14ac:dyDescent="0.4"/>
    <row r="164" spans="1:28" ht="16.5" hidden="1" customHeight="1" x14ac:dyDescent="0.4"/>
    <row r="165" spans="1:28" ht="16.5" hidden="1" customHeight="1" x14ac:dyDescent="0.4"/>
    <row r="166" spans="1:28" ht="16.5" hidden="1" customHeight="1" x14ac:dyDescent="0.4"/>
    <row r="167" spans="1:28" ht="16.5" hidden="1" customHeight="1" x14ac:dyDescent="0.4"/>
    <row r="168" spans="1:28" ht="16.8" hidden="1" customHeight="1" x14ac:dyDescent="0.4"/>
    <row r="169" spans="1:28" ht="16.5" hidden="1" customHeight="1" x14ac:dyDescent="0.4"/>
    <row r="170" spans="1:28" ht="16.5" hidden="1" customHeight="1" x14ac:dyDescent="0.4"/>
    <row r="171" spans="1:28" s="3" customFormat="1" ht="24.6" customHeight="1" x14ac:dyDescent="0.55000000000000004">
      <c r="A171" s="25"/>
      <c r="B171" s="25"/>
      <c r="C171" s="26"/>
      <c r="D171" s="1" t="s">
        <v>24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8" ht="16.8" customHeight="1" x14ac:dyDescent="0.4"/>
    <row r="173" spans="1:28" ht="16.5" customHeight="1" x14ac:dyDescent="0.4">
      <c r="A173" s="25"/>
      <c r="B173" s="25"/>
      <c r="C173" s="26"/>
      <c r="D173" s="9" t="s">
        <v>48</v>
      </c>
      <c r="E173" s="7"/>
      <c r="F173" s="7"/>
      <c r="G173" s="7"/>
      <c r="H173" s="7"/>
      <c r="I173" s="7"/>
      <c r="J173" s="7"/>
      <c r="K173" s="7"/>
      <c r="L173" s="7"/>
      <c r="M173" s="7"/>
      <c r="O173" s="9" t="s">
        <v>25</v>
      </c>
      <c r="P173" s="7"/>
      <c r="Q173" s="7"/>
      <c r="R173" s="7"/>
      <c r="S173" s="7"/>
      <c r="T173" s="7"/>
      <c r="U173" s="7"/>
      <c r="V173" s="7"/>
      <c r="W173" s="7"/>
      <c r="X173" s="7"/>
      <c r="Z173" s="3"/>
      <c r="AA173" s="3"/>
      <c r="AB173" s="3"/>
    </row>
    <row r="175" spans="1:28" ht="16.5" customHeight="1" x14ac:dyDescent="0.4">
      <c r="K175" s="14"/>
      <c r="L175" s="14"/>
      <c r="M175" s="14"/>
      <c r="O175" s="13" t="s">
        <v>16</v>
      </c>
      <c r="P175" s="13">
        <v>2023</v>
      </c>
      <c r="Q175" s="13">
        <v>2024</v>
      </c>
      <c r="R175" s="13">
        <v>2025</v>
      </c>
      <c r="S175" s="13">
        <v>2026</v>
      </c>
      <c r="T175" s="13">
        <v>2027</v>
      </c>
      <c r="U175" s="13">
        <v>2028</v>
      </c>
      <c r="V175" s="13">
        <v>2029</v>
      </c>
      <c r="W175" s="13">
        <v>2030</v>
      </c>
      <c r="X175" s="13">
        <v>2031</v>
      </c>
      <c r="Y175" s="13">
        <v>2032</v>
      </c>
      <c r="Z175" s="13">
        <v>2033</v>
      </c>
      <c r="AA175" s="13">
        <v>2034</v>
      </c>
      <c r="AB175" s="13">
        <v>2035</v>
      </c>
    </row>
    <row r="176" spans="1:28" ht="16.5" customHeight="1" x14ac:dyDescent="0.4">
      <c r="K176" s="14"/>
      <c r="L176" s="14"/>
      <c r="M176" s="14"/>
      <c r="O176" s="4" t="s">
        <v>8</v>
      </c>
      <c r="V176" s="14"/>
      <c r="W176" s="14"/>
      <c r="X176" s="14"/>
    </row>
    <row r="177" spans="1:28" ht="16.5" customHeight="1" x14ac:dyDescent="0.4">
      <c r="K177" s="14"/>
      <c r="L177" s="14"/>
      <c r="M177" s="14"/>
      <c r="O177" s="5" t="s">
        <v>9</v>
      </c>
      <c r="P177" s="15" t="e">
        <f ca="1">'Summary Stats'!D18</f>
        <v>#REF!</v>
      </c>
      <c r="Q177" s="15" t="e">
        <f ca="1">'Summary Stats'!E18</f>
        <v>#REF!</v>
      </c>
      <c r="R177" s="15" t="e">
        <f ca="1">'Summary Stats'!F18</f>
        <v>#REF!</v>
      </c>
      <c r="S177" s="15" t="e">
        <f ca="1">'Summary Stats'!G18</f>
        <v>#REF!</v>
      </c>
      <c r="T177" s="15" t="e">
        <f ca="1">'Summary Stats'!H18</f>
        <v>#REF!</v>
      </c>
      <c r="U177" s="15" t="e">
        <f ca="1">'Summary Stats'!I18</f>
        <v>#REF!</v>
      </c>
      <c r="V177" s="15" t="e">
        <f ca="1">'Summary Stats'!J18</f>
        <v>#REF!</v>
      </c>
      <c r="W177" s="15" t="e">
        <f ca="1">'Summary Stats'!K18</f>
        <v>#REF!</v>
      </c>
      <c r="X177" s="15" t="e">
        <f ca="1">'Summary Stats'!L18</f>
        <v>#REF!</v>
      </c>
      <c r="Y177" s="15" t="e">
        <f ca="1">'Summary Stats'!M18</f>
        <v>#REF!</v>
      </c>
      <c r="Z177" s="15" t="e">
        <f ca="1">'Summary Stats'!N18</f>
        <v>#REF!</v>
      </c>
      <c r="AA177" s="15" t="e">
        <f ca="1">'Summary Stats'!O18</f>
        <v>#REF!</v>
      </c>
      <c r="AB177" s="15" t="e">
        <f ca="1">'Summary Stats'!P18</f>
        <v>#REF!</v>
      </c>
    </row>
    <row r="178" spans="1:28" ht="16.5" customHeight="1" x14ac:dyDescent="0.4">
      <c r="K178" s="14"/>
      <c r="L178" s="14"/>
      <c r="M178" s="14"/>
      <c r="O178" s="5" t="s">
        <v>10</v>
      </c>
      <c r="P178" s="15" t="e">
        <f ca="1">'Summary Stats'!D21</f>
        <v>#REF!</v>
      </c>
      <c r="Q178" s="15" t="e">
        <f ca="1">'Summary Stats'!E21</f>
        <v>#REF!</v>
      </c>
      <c r="R178" s="15" t="e">
        <f ca="1">'Summary Stats'!F21</f>
        <v>#REF!</v>
      </c>
      <c r="S178" s="15" t="e">
        <f ca="1">'Summary Stats'!G21</f>
        <v>#REF!</v>
      </c>
      <c r="T178" s="15" t="e">
        <f ca="1">'Summary Stats'!H21</f>
        <v>#REF!</v>
      </c>
      <c r="U178" s="15" t="e">
        <f ca="1">'Summary Stats'!I21</f>
        <v>#REF!</v>
      </c>
      <c r="V178" s="15" t="e">
        <f ca="1">'Summary Stats'!J21</f>
        <v>#REF!</v>
      </c>
      <c r="W178" s="15" t="e">
        <f ca="1">'Summary Stats'!K21</f>
        <v>#REF!</v>
      </c>
      <c r="X178" s="15" t="e">
        <f ca="1">'Summary Stats'!L21</f>
        <v>#REF!</v>
      </c>
      <c r="Y178" s="15" t="e">
        <f ca="1">'Summary Stats'!M21</f>
        <v>#REF!</v>
      </c>
      <c r="Z178" s="15" t="e">
        <f ca="1">'Summary Stats'!N21</f>
        <v>#REF!</v>
      </c>
      <c r="AA178" s="15" t="e">
        <f ca="1">'Summary Stats'!O21</f>
        <v>#REF!</v>
      </c>
      <c r="AB178" s="15" t="e">
        <f ca="1">'Summary Stats'!P21</f>
        <v>#REF!</v>
      </c>
    </row>
    <row r="179" spans="1:28" ht="16.5" customHeight="1" x14ac:dyDescent="0.4">
      <c r="K179" s="14"/>
      <c r="L179" s="14"/>
      <c r="M179" s="14"/>
      <c r="O179" s="5" t="s">
        <v>11</v>
      </c>
      <c r="P179" s="15" t="e">
        <f ca="1">'Summary Stats'!D22</f>
        <v>#REF!</v>
      </c>
      <c r="Q179" s="15" t="e">
        <f ca="1">'Summary Stats'!E22</f>
        <v>#REF!</v>
      </c>
      <c r="R179" s="15" t="e">
        <f ca="1">'Summary Stats'!F22</f>
        <v>#REF!</v>
      </c>
      <c r="S179" s="15" t="e">
        <f ca="1">'Summary Stats'!G22</f>
        <v>#REF!</v>
      </c>
      <c r="T179" s="15" t="e">
        <f ca="1">'Summary Stats'!H22</f>
        <v>#REF!</v>
      </c>
      <c r="U179" s="15" t="e">
        <f ca="1">'Summary Stats'!I22</f>
        <v>#REF!</v>
      </c>
      <c r="V179" s="15" t="e">
        <f ca="1">'Summary Stats'!J22</f>
        <v>#REF!</v>
      </c>
      <c r="W179" s="15" t="e">
        <f ca="1">'Summary Stats'!K22</f>
        <v>#REF!</v>
      </c>
      <c r="X179" s="15" t="e">
        <f ca="1">'Summary Stats'!L22</f>
        <v>#REF!</v>
      </c>
      <c r="Y179" s="15" t="e">
        <f ca="1">'Summary Stats'!M22</f>
        <v>#REF!</v>
      </c>
      <c r="Z179" s="15" t="e">
        <f ca="1">'Summary Stats'!N22</f>
        <v>#REF!</v>
      </c>
      <c r="AA179" s="15" t="e">
        <f ca="1">'Summary Stats'!O22</f>
        <v>#REF!</v>
      </c>
      <c r="AB179" s="15" t="e">
        <f ca="1">'Summary Stats'!P22</f>
        <v>#REF!</v>
      </c>
    </row>
    <row r="180" spans="1:28" ht="16.2" customHeight="1" x14ac:dyDescent="0.4">
      <c r="K180" s="14"/>
      <c r="L180" s="14"/>
      <c r="M180" s="14"/>
      <c r="O180" s="5" t="s">
        <v>12</v>
      </c>
      <c r="P180" s="15" t="e">
        <f ca="1">'Summary Stats'!D23</f>
        <v>#REF!</v>
      </c>
      <c r="Q180" s="15" t="e">
        <f ca="1">'Summary Stats'!E23</f>
        <v>#REF!</v>
      </c>
      <c r="R180" s="15" t="e">
        <f ca="1">'Summary Stats'!F23</f>
        <v>#REF!</v>
      </c>
      <c r="S180" s="15" t="e">
        <f ca="1">'Summary Stats'!G23</f>
        <v>#REF!</v>
      </c>
      <c r="T180" s="15" t="e">
        <f ca="1">'Summary Stats'!H23</f>
        <v>#REF!</v>
      </c>
      <c r="U180" s="15" t="e">
        <f ca="1">'Summary Stats'!I23</f>
        <v>#REF!</v>
      </c>
      <c r="V180" s="15" t="e">
        <f ca="1">'Summary Stats'!J23</f>
        <v>#REF!</v>
      </c>
      <c r="W180" s="15" t="e">
        <f ca="1">'Summary Stats'!K23</f>
        <v>#REF!</v>
      </c>
      <c r="X180" s="15" t="e">
        <f ca="1">'Summary Stats'!L23</f>
        <v>#REF!</v>
      </c>
      <c r="Y180" s="15" t="e">
        <f ca="1">'Summary Stats'!M23</f>
        <v>#REF!</v>
      </c>
      <c r="Z180" s="15" t="e">
        <f ca="1">'Summary Stats'!N23</f>
        <v>#REF!</v>
      </c>
      <c r="AA180" s="15" t="e">
        <f ca="1">'Summary Stats'!O23</f>
        <v>#REF!</v>
      </c>
      <c r="AB180" s="15" t="e">
        <f ca="1">'Summary Stats'!P23</f>
        <v>#REF!</v>
      </c>
    </row>
    <row r="181" spans="1:28" ht="16.2" customHeight="1" x14ac:dyDescent="0.4">
      <c r="K181" s="14"/>
      <c r="L181" s="14"/>
      <c r="M181" s="14"/>
      <c r="O181" s="5" t="s">
        <v>42</v>
      </c>
      <c r="P181" s="15" t="e">
        <f ca="1">'Summary Stats'!D20</f>
        <v>#REF!</v>
      </c>
      <c r="Q181" s="15" t="e">
        <f ca="1">'Summary Stats'!E20</f>
        <v>#REF!</v>
      </c>
      <c r="R181" s="15" t="e">
        <f ca="1">'Summary Stats'!F20</f>
        <v>#REF!</v>
      </c>
      <c r="S181" s="15" t="e">
        <f ca="1">'Summary Stats'!G20</f>
        <v>#REF!</v>
      </c>
      <c r="T181" s="15" t="e">
        <f ca="1">'Summary Stats'!H20</f>
        <v>#REF!</v>
      </c>
      <c r="U181" s="15" t="e">
        <f ca="1">'Summary Stats'!I20</f>
        <v>#REF!</v>
      </c>
      <c r="V181" s="15" t="e">
        <f ca="1">'Summary Stats'!J20</f>
        <v>#REF!</v>
      </c>
      <c r="W181" s="15" t="e">
        <f ca="1">'Summary Stats'!K20</f>
        <v>#REF!</v>
      </c>
      <c r="X181" s="15" t="e">
        <f ca="1">'Summary Stats'!L20</f>
        <v>#REF!</v>
      </c>
      <c r="Y181" s="15" t="e">
        <f ca="1">'Summary Stats'!M20</f>
        <v>#REF!</v>
      </c>
      <c r="Z181" s="15" t="e">
        <f ca="1">'Summary Stats'!N20</f>
        <v>#REF!</v>
      </c>
      <c r="AA181" s="15" t="e">
        <f ca="1">'Summary Stats'!O20</f>
        <v>#REF!</v>
      </c>
      <c r="AB181" s="15" t="e">
        <f ca="1">'Summary Stats'!P20</f>
        <v>#REF!</v>
      </c>
    </row>
    <row r="182" spans="1:28" ht="16.2" customHeight="1" x14ac:dyDescent="0.4">
      <c r="K182" s="14"/>
      <c r="L182" s="14"/>
      <c r="M182" s="14"/>
      <c r="O182" s="7" t="s">
        <v>43</v>
      </c>
      <c r="P182" s="28" t="e">
        <f ca="1">'Summary Stats'!D19</f>
        <v>#REF!</v>
      </c>
      <c r="Q182" s="28" t="e">
        <f ca="1">'Summary Stats'!E19</f>
        <v>#REF!</v>
      </c>
      <c r="R182" s="28" t="e">
        <f ca="1">'Summary Stats'!F19</f>
        <v>#REF!</v>
      </c>
      <c r="S182" s="28" t="e">
        <f ca="1">'Summary Stats'!G19</f>
        <v>#REF!</v>
      </c>
      <c r="T182" s="28" t="e">
        <f ca="1">'Summary Stats'!H19</f>
        <v>#REF!</v>
      </c>
      <c r="U182" s="28" t="e">
        <f ca="1">'Summary Stats'!I19</f>
        <v>#REF!</v>
      </c>
      <c r="V182" s="28" t="e">
        <f ca="1">'Summary Stats'!J19</f>
        <v>#REF!</v>
      </c>
      <c r="W182" s="28" t="e">
        <f ca="1">'Summary Stats'!K19</f>
        <v>#REF!</v>
      </c>
      <c r="X182" s="28" t="e">
        <f ca="1">'Summary Stats'!L19</f>
        <v>#REF!</v>
      </c>
      <c r="Y182" s="28" t="e">
        <f ca="1">'Summary Stats'!M19</f>
        <v>#REF!</v>
      </c>
      <c r="Z182" s="28" t="e">
        <f ca="1">'Summary Stats'!N19</f>
        <v>#REF!</v>
      </c>
      <c r="AA182" s="28" t="e">
        <f ca="1">'Summary Stats'!O19</f>
        <v>#REF!</v>
      </c>
      <c r="AB182" s="28" t="e">
        <f ca="1">'Summary Stats'!P19</f>
        <v>#REF!</v>
      </c>
    </row>
    <row r="183" spans="1:28" ht="16.5" customHeight="1" x14ac:dyDescent="0.4">
      <c r="K183" s="14"/>
      <c r="L183" s="14"/>
      <c r="M183" s="14"/>
      <c r="O183" s="30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</row>
    <row r="184" spans="1:28" ht="16.5" customHeight="1" x14ac:dyDescent="0.4">
      <c r="K184" s="14"/>
      <c r="L184" s="14"/>
      <c r="M184" s="14"/>
      <c r="O184" s="14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</row>
    <row r="185" spans="1:28" ht="16.5" customHeight="1" x14ac:dyDescent="0.4">
      <c r="K185" s="14"/>
      <c r="L185" s="14"/>
      <c r="M185" s="14"/>
      <c r="O185" s="14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</row>
    <row r="186" spans="1:28" ht="16.5" customHeight="1" x14ac:dyDescent="0.4">
      <c r="K186" s="14"/>
      <c r="L186" s="14"/>
      <c r="M186" s="14"/>
      <c r="O186" s="14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</row>
    <row r="187" spans="1:28" ht="16.5" customHeight="1" x14ac:dyDescent="0.4">
      <c r="K187" s="14"/>
      <c r="L187" s="14"/>
      <c r="M187" s="14"/>
      <c r="O187" s="14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</row>
    <row r="188" spans="1:28" ht="16.5" customHeight="1" x14ac:dyDescent="0.4">
      <c r="J188" s="14"/>
      <c r="K188" s="14"/>
      <c r="L188" s="14"/>
      <c r="M188" s="14"/>
      <c r="N188" s="14"/>
      <c r="O188" s="14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</row>
    <row r="189" spans="1:28" ht="16.5" customHeight="1" x14ac:dyDescent="0.4">
      <c r="K189" s="14"/>
      <c r="L189" s="14"/>
      <c r="M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spans="1:28" ht="16.5" hidden="1" customHeight="1" x14ac:dyDescent="0.4">
      <c r="A190" s="25"/>
      <c r="B190" s="25"/>
      <c r="C190" s="26"/>
      <c r="D190" s="9" t="s">
        <v>26</v>
      </c>
      <c r="E190" s="7"/>
      <c r="F190" s="7"/>
      <c r="G190" s="7"/>
      <c r="H190" s="7"/>
      <c r="I190" s="7"/>
      <c r="J190" s="7"/>
      <c r="K190" s="7"/>
      <c r="L190" s="7"/>
      <c r="M190" s="7"/>
      <c r="O190" s="9" t="s">
        <v>27</v>
      </c>
      <c r="P190" s="7"/>
      <c r="Q190" s="7"/>
      <c r="R190" s="7"/>
      <c r="S190" s="7"/>
      <c r="T190" s="7"/>
      <c r="U190" s="7"/>
      <c r="V190" s="7"/>
      <c r="W190" s="7"/>
      <c r="X190" s="7"/>
      <c r="Z190" s="3"/>
      <c r="AA190" s="3"/>
      <c r="AB190" s="3"/>
    </row>
    <row r="191" spans="1:28" ht="16.5" hidden="1" customHeight="1" x14ac:dyDescent="0.4"/>
    <row r="192" spans="1:28" ht="16.5" hidden="1" customHeight="1" x14ac:dyDescent="0.4">
      <c r="K192" s="21"/>
      <c r="L192" s="22"/>
      <c r="M192" s="22"/>
      <c r="V192" s="18"/>
      <c r="W192" s="14"/>
      <c r="X192" s="14"/>
    </row>
    <row r="193" spans="10:24" ht="16.5" hidden="1" customHeight="1" x14ac:dyDescent="0.4">
      <c r="K193" s="22"/>
      <c r="L193" s="22"/>
      <c r="M193" s="22"/>
      <c r="V193" s="14"/>
      <c r="W193" s="14"/>
      <c r="X193" s="14"/>
    </row>
    <row r="194" spans="10:24" ht="16.5" hidden="1" customHeight="1" x14ac:dyDescent="0.4">
      <c r="K194" s="22"/>
      <c r="L194" s="22"/>
      <c r="M194" s="22"/>
      <c r="V194" s="14"/>
      <c r="W194" s="14"/>
      <c r="X194" s="14"/>
    </row>
    <row r="195" spans="10:24" ht="16.5" hidden="1" customHeight="1" x14ac:dyDescent="0.4">
      <c r="K195" s="22"/>
      <c r="L195" s="22"/>
      <c r="M195" s="22"/>
      <c r="V195" s="14"/>
      <c r="W195" s="14"/>
      <c r="X195" s="14"/>
    </row>
    <row r="196" spans="10:24" ht="16.5" hidden="1" customHeight="1" x14ac:dyDescent="0.4">
      <c r="K196" s="22"/>
      <c r="L196" s="22"/>
      <c r="M196" s="22"/>
      <c r="V196" s="14"/>
      <c r="W196" s="14"/>
      <c r="X196" s="14"/>
    </row>
    <row r="197" spans="10:24" ht="16.5" hidden="1" customHeight="1" x14ac:dyDescent="0.4">
      <c r="K197" s="22"/>
      <c r="L197" s="22"/>
      <c r="M197" s="22"/>
      <c r="V197" s="14"/>
      <c r="W197" s="14"/>
      <c r="X197" s="14"/>
    </row>
    <row r="198" spans="10:24" ht="16.5" hidden="1" customHeight="1" x14ac:dyDescent="0.4">
      <c r="K198" s="22"/>
      <c r="L198" s="22"/>
      <c r="M198" s="22"/>
      <c r="V198" s="14"/>
      <c r="W198" s="14"/>
      <c r="X198" s="14"/>
    </row>
    <row r="199" spans="10:24" ht="16.5" hidden="1" customHeight="1" x14ac:dyDescent="0.4">
      <c r="K199" s="22"/>
      <c r="L199" s="22"/>
      <c r="M199" s="22"/>
      <c r="V199" s="14"/>
      <c r="W199" s="14"/>
      <c r="X199" s="14"/>
    </row>
    <row r="200" spans="10:24" ht="16.5" hidden="1" customHeight="1" x14ac:dyDescent="0.4">
      <c r="K200" s="22"/>
      <c r="L200" s="22"/>
      <c r="M200" s="22"/>
      <c r="V200" s="14"/>
      <c r="W200" s="14"/>
      <c r="X200" s="14"/>
    </row>
    <row r="201" spans="10:24" ht="16.5" hidden="1" customHeight="1" x14ac:dyDescent="0.4">
      <c r="K201" s="22"/>
      <c r="L201" s="22"/>
      <c r="M201" s="22"/>
      <c r="V201" s="14"/>
      <c r="W201" s="14"/>
      <c r="X201" s="14"/>
    </row>
    <row r="202" spans="10:24" ht="16.5" hidden="1" customHeight="1" x14ac:dyDescent="0.4">
      <c r="K202" s="22"/>
      <c r="L202" s="22"/>
      <c r="M202" s="22"/>
      <c r="V202" s="14"/>
      <c r="W202" s="14"/>
      <c r="X202" s="14"/>
    </row>
    <row r="203" spans="10:24" ht="16.5" hidden="1" customHeight="1" x14ac:dyDescent="0.4">
      <c r="J203" s="14"/>
      <c r="K203" s="14"/>
      <c r="L203" s="14"/>
      <c r="M203" s="14"/>
      <c r="N203" s="14"/>
      <c r="O203" s="14"/>
      <c r="V203" s="14"/>
      <c r="W203" s="14"/>
      <c r="X203" s="14"/>
    </row>
    <row r="204" spans="10:24" ht="16.5" hidden="1" customHeight="1" x14ac:dyDescent="0.4">
      <c r="J204" s="14"/>
      <c r="K204" s="14"/>
      <c r="L204" s="14"/>
      <c r="M204" s="14"/>
      <c r="N204" s="14"/>
      <c r="O204" s="14"/>
      <c r="V204" s="14"/>
      <c r="W204" s="14"/>
      <c r="X204" s="14"/>
    </row>
    <row r="205" spans="10:24" ht="16.5" hidden="1" customHeight="1" x14ac:dyDescent="0.4">
      <c r="J205" s="14"/>
      <c r="K205" s="14"/>
      <c r="L205" s="14"/>
      <c r="M205" s="14"/>
      <c r="N205" s="14"/>
      <c r="O205" s="14"/>
    </row>
    <row r="206" spans="10:24" ht="16.5" customHeight="1" x14ac:dyDescent="0.4">
      <c r="J206" s="14"/>
      <c r="K206" s="14"/>
      <c r="L206" s="14"/>
      <c r="M206" s="14"/>
      <c r="N206" s="14"/>
      <c r="O206" s="14"/>
    </row>
    <row r="207" spans="10:24" ht="16.5" customHeight="1" x14ac:dyDescent="0.4">
      <c r="J207" s="14"/>
      <c r="K207" s="14"/>
      <c r="L207" s="14"/>
      <c r="M207" s="14"/>
      <c r="N207" s="14"/>
      <c r="O207" s="14"/>
    </row>
    <row r="208" spans="10:24" ht="16.5" customHeight="1" x14ac:dyDescent="0.4">
      <c r="J208" s="14"/>
      <c r="K208" s="14"/>
      <c r="L208" s="14"/>
      <c r="M208" s="14"/>
      <c r="N208" s="14"/>
      <c r="O208" s="14"/>
    </row>
  </sheetData>
  <mergeCells count="4">
    <mergeCell ref="R13:X13"/>
    <mergeCell ref="R12:X12"/>
    <mergeCell ref="G12:M12"/>
    <mergeCell ref="G13:M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71"/>
  <sheetViews>
    <sheetView zoomScale="70" zoomScaleNormal="70" workbookViewId="0">
      <selection activeCell="T10" sqref="T10"/>
    </sheetView>
  </sheetViews>
  <sheetFormatPr defaultRowHeight="14.4" x14ac:dyDescent="0.3"/>
  <cols>
    <col min="1" max="2" width="14.21875" customWidth="1"/>
    <col min="19" max="19" width="17.44140625" bestFit="1" customWidth="1"/>
  </cols>
  <sheetData>
    <row r="1" spans="1:50" x14ac:dyDescent="0.3">
      <c r="A1" s="23" t="s">
        <v>28</v>
      </c>
      <c r="B1" s="27" t="s">
        <v>35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R1" t="s">
        <v>28</v>
      </c>
      <c r="S1" s="27" t="s">
        <v>36</v>
      </c>
      <c r="T1">
        <v>0</v>
      </c>
      <c r="U1">
        <v>1</v>
      </c>
      <c r="V1">
        <v>2</v>
      </c>
      <c r="W1">
        <v>3</v>
      </c>
      <c r="X1">
        <v>4</v>
      </c>
      <c r="Y1">
        <v>5</v>
      </c>
      <c r="Z1">
        <v>6</v>
      </c>
      <c r="AA1">
        <v>7</v>
      </c>
      <c r="AB1">
        <v>8</v>
      </c>
      <c r="AC1">
        <v>9</v>
      </c>
      <c r="AD1">
        <v>10</v>
      </c>
      <c r="AE1">
        <v>11</v>
      </c>
      <c r="AF1">
        <v>12</v>
      </c>
      <c r="AG1">
        <v>13</v>
      </c>
      <c r="AI1" t="s">
        <v>28</v>
      </c>
      <c r="AJ1" s="27" t="s">
        <v>37</v>
      </c>
      <c r="AK1">
        <v>0</v>
      </c>
      <c r="AL1">
        <v>1</v>
      </c>
      <c r="AM1">
        <v>2</v>
      </c>
      <c r="AN1">
        <v>3</v>
      </c>
      <c r="AO1">
        <v>4</v>
      </c>
      <c r="AP1">
        <v>5</v>
      </c>
      <c r="AQ1">
        <v>6</v>
      </c>
      <c r="AR1">
        <v>7</v>
      </c>
      <c r="AS1">
        <v>8</v>
      </c>
      <c r="AT1">
        <v>9</v>
      </c>
      <c r="AU1">
        <v>10</v>
      </c>
      <c r="AV1">
        <v>11</v>
      </c>
      <c r="AW1">
        <v>12</v>
      </c>
      <c r="AX1">
        <v>13</v>
      </c>
    </row>
    <row r="2" spans="1:50" x14ac:dyDescent="0.3">
      <c r="A2" t="s">
        <v>33</v>
      </c>
      <c r="B2" t="s">
        <v>30</v>
      </c>
      <c r="C2" t="e">
        <f t="shared" ref="C2" ca="1" si="0">SUM(C3:C7)</f>
        <v>#REF!</v>
      </c>
      <c r="D2" t="e">
        <f ca="1">SUM(D3:D7)</f>
        <v>#REF!</v>
      </c>
      <c r="E2" t="e">
        <f t="shared" ref="E2" ca="1" si="1">SUM(E3:E7)</f>
        <v>#REF!</v>
      </c>
      <c r="F2" t="e">
        <f t="shared" ref="F2" ca="1" si="2">SUM(F3:F7)</f>
        <v>#REF!</v>
      </c>
      <c r="G2" t="e">
        <f t="shared" ref="G2" ca="1" si="3">SUM(G3:G7)</f>
        <v>#REF!</v>
      </c>
      <c r="H2" t="e">
        <f t="shared" ref="H2" ca="1" si="4">SUM(H3:H7)</f>
        <v>#REF!</v>
      </c>
      <c r="I2" t="e">
        <f t="shared" ref="I2" ca="1" si="5">SUM(I3:I7)</f>
        <v>#REF!</v>
      </c>
      <c r="J2" t="e">
        <f t="shared" ref="J2" ca="1" si="6">SUM(J3:J7)</f>
        <v>#REF!</v>
      </c>
      <c r="K2" t="e">
        <f t="shared" ref="K2" ca="1" si="7">SUM(K3:K7)</f>
        <v>#REF!</v>
      </c>
      <c r="L2" t="e">
        <f t="shared" ref="L2" ca="1" si="8">SUM(L3:L7)</f>
        <v>#REF!</v>
      </c>
      <c r="M2" t="e">
        <f t="shared" ref="M2" ca="1" si="9">SUM(M3:M7)</f>
        <v>#REF!</v>
      </c>
      <c r="N2" t="e">
        <f t="shared" ref="N2" ca="1" si="10">SUM(N3:N7)</f>
        <v>#REF!</v>
      </c>
      <c r="O2" t="e">
        <f t="shared" ref="O2" ca="1" si="11">SUM(O3:O7)</f>
        <v>#REF!</v>
      </c>
      <c r="P2" t="e">
        <f t="shared" ref="P2" ca="1" si="12">SUM(P3:P7)</f>
        <v>#REF!</v>
      </c>
      <c r="R2" t="s">
        <v>33</v>
      </c>
      <c r="S2" t="s">
        <v>30</v>
      </c>
      <c r="AI2" t="s">
        <v>33</v>
      </c>
      <c r="AJ2" t="s">
        <v>30</v>
      </c>
    </row>
    <row r="3" spans="1:50" x14ac:dyDescent="0.3">
      <c r="A3" t="s">
        <v>29</v>
      </c>
      <c r="B3" t="s">
        <v>30</v>
      </c>
      <c r="C3" t="e">
        <f ca="1">AVERAGE(OFFSET(incidence_cadaver!B:B,1,0,COUNTA(incidence_cadaver!B:B)-1))</f>
        <v>#REF!</v>
      </c>
      <c r="D3" t="e">
        <f ca="1">AVERAGE(OFFSET(incidence_cadaver!C:C,1,0,COUNTA(incidence_cadaver!C:C)-1))</f>
        <v>#REF!</v>
      </c>
      <c r="E3" t="e">
        <f ca="1">AVERAGE(OFFSET(incidence_cadaver!D:D,1,0,COUNTA(incidence_cadaver!D:D)-1))</f>
        <v>#REF!</v>
      </c>
      <c r="F3" t="e">
        <f ca="1">AVERAGE(OFFSET(incidence_cadaver!E:E,1,0,COUNTA(incidence_cadaver!E:E)-1))</f>
        <v>#REF!</v>
      </c>
      <c r="G3" t="e">
        <f ca="1">AVERAGE(OFFSET(incidence_cadaver!F:F,1,0,COUNTA(incidence_cadaver!F:F)-1))</f>
        <v>#REF!</v>
      </c>
      <c r="H3" t="e">
        <f ca="1">AVERAGE(OFFSET(incidence_cadaver!G:G,1,0,COUNTA(incidence_cadaver!G:G)-1))</f>
        <v>#REF!</v>
      </c>
      <c r="I3" t="e">
        <f ca="1">AVERAGE(OFFSET(incidence_cadaver!H:H,1,0,COUNTA(incidence_cadaver!H:H)-1))</f>
        <v>#REF!</v>
      </c>
      <c r="J3" t="e">
        <f ca="1">AVERAGE(OFFSET(incidence_cadaver!I:I,1,0,COUNTA(incidence_cadaver!I:I)-1))</f>
        <v>#REF!</v>
      </c>
      <c r="K3" t="e">
        <f ca="1">AVERAGE(OFFSET(incidence_cadaver!J:J,1,0,COUNTA(incidence_cadaver!J:J)-1))</f>
        <v>#REF!</v>
      </c>
      <c r="L3" t="e">
        <f ca="1">AVERAGE(OFFSET(incidence_cadaver!K:K,1,0,COUNTA(incidence_cadaver!K:K)-1))</f>
        <v>#REF!</v>
      </c>
      <c r="M3" t="e">
        <f ca="1">AVERAGE(OFFSET(incidence_cadaver!L:L,1,0,COUNTA(incidence_cadaver!L:L)-1))</f>
        <v>#REF!</v>
      </c>
      <c r="N3" t="e">
        <f ca="1">AVERAGE(OFFSET(incidence_cadaver!M:M,1,0,COUNTA(incidence_cadaver!M:M)-1))</f>
        <v>#REF!</v>
      </c>
      <c r="O3" t="e">
        <f ca="1">AVERAGE(OFFSET(incidence_cadaver!N:N,1,0,COUNTA(incidence_cadaver!N:N)-1))</f>
        <v>#REF!</v>
      </c>
      <c r="P3" t="e">
        <f ca="1">AVERAGE(OFFSET(incidence_cadaver!O:O,1,0,COUNTA(incidence_cadaver!O:O)-1))</f>
        <v>#REF!</v>
      </c>
      <c r="R3" t="s">
        <v>29</v>
      </c>
      <c r="S3" t="s">
        <v>30</v>
      </c>
      <c r="T3" t="e">
        <f ca="1">_xlfn.STDEV.S(OFFSET(incidence_cadaver!B:B,1,0,COUNTA(incidence_cadaver!B:B)-1))</f>
        <v>#REF!</v>
      </c>
      <c r="U3" t="e">
        <f ca="1">_xlfn.STDEV.S(OFFSET(incidence_cadaver!C:C,1,0,COUNTA(incidence_cadaver!C:C)-1))</f>
        <v>#REF!</v>
      </c>
      <c r="V3" t="e">
        <f ca="1">_xlfn.STDEV.S(OFFSET(incidence_cadaver!D:D,1,0,COUNTA(incidence_cadaver!D:D)-1))</f>
        <v>#REF!</v>
      </c>
      <c r="W3" t="e">
        <f ca="1">_xlfn.STDEV.S(OFFSET(incidence_cadaver!E:E,1,0,COUNTA(incidence_cadaver!E:E)-1))</f>
        <v>#REF!</v>
      </c>
      <c r="X3" t="e">
        <f ca="1">_xlfn.STDEV.S(OFFSET(incidence_cadaver!F:F,1,0,COUNTA(incidence_cadaver!F:F)-1))</f>
        <v>#REF!</v>
      </c>
      <c r="Y3" t="e">
        <f ca="1">_xlfn.STDEV.S(OFFSET(incidence_cadaver!G:G,1,0,COUNTA(incidence_cadaver!G:G)-1))</f>
        <v>#REF!</v>
      </c>
      <c r="Z3" t="e">
        <f ca="1">_xlfn.STDEV.S(OFFSET(incidence_cadaver!H:H,1,0,COUNTA(incidence_cadaver!H:H)-1))</f>
        <v>#REF!</v>
      </c>
      <c r="AA3" t="e">
        <f ca="1">_xlfn.STDEV.S(OFFSET(incidence_cadaver!I:I,1,0,COUNTA(incidence_cadaver!I:I)-1))</f>
        <v>#REF!</v>
      </c>
      <c r="AB3" t="e">
        <f ca="1">_xlfn.STDEV.S(OFFSET(incidence_cadaver!J:J,1,0,COUNTA(incidence_cadaver!J:J)-1))</f>
        <v>#REF!</v>
      </c>
      <c r="AC3" t="e">
        <f ca="1">_xlfn.STDEV.S(OFFSET(incidence_cadaver!K:K,1,0,COUNTA(incidence_cadaver!K:K)-1))</f>
        <v>#REF!</v>
      </c>
      <c r="AD3" t="e">
        <f ca="1">_xlfn.STDEV.S(OFFSET(incidence_cadaver!L:L,1,0,COUNTA(incidence_cadaver!L:L)-1))</f>
        <v>#REF!</v>
      </c>
      <c r="AE3" t="e">
        <f ca="1">_xlfn.STDEV.S(OFFSET(incidence_cadaver!M:M,1,0,COUNTA(incidence_cadaver!M:M)-1))</f>
        <v>#REF!</v>
      </c>
      <c r="AF3" t="e">
        <f ca="1">_xlfn.STDEV.S(OFFSET(incidence_cadaver!N:N,1,0,COUNTA(incidence_cadaver!N:N)-1))</f>
        <v>#REF!</v>
      </c>
      <c r="AG3" t="e">
        <f ca="1">_xlfn.STDEV.S(OFFSET(incidence_cadaver!O:O,1,0,COUNTA(incidence_cadaver!O:O)-1))</f>
        <v>#REF!</v>
      </c>
      <c r="AI3" t="s">
        <v>29</v>
      </c>
      <c r="AJ3" t="s">
        <v>30</v>
      </c>
      <c r="AK3">
        <v>0</v>
      </c>
      <c r="AL3" t="e">
        <f ca="1">1.96*U3/SQRT(COUNT(incidence_cadaver!B:B)-1)</f>
        <v>#REF!</v>
      </c>
      <c r="AM3" t="e">
        <f ca="1">1.96*V3/SQRT(COUNT(incidence_cadaver!C:C)-1)</f>
        <v>#REF!</v>
      </c>
      <c r="AN3" t="e">
        <f ca="1">1.96*W3/SQRT(COUNT(incidence_cadaver!D:D)-1)</f>
        <v>#REF!</v>
      </c>
      <c r="AO3" t="e">
        <f ca="1">1.96*X3/SQRT(COUNT(incidence_cadaver!E:E)-1)</f>
        <v>#REF!</v>
      </c>
      <c r="AP3" t="e">
        <f ca="1">1.96*Y3/SQRT(COUNT(incidence_cadaver!F:F)-1)</f>
        <v>#REF!</v>
      </c>
      <c r="AQ3" t="e">
        <f ca="1">1.96*Z3/SQRT(COUNT(incidence_cadaver!G:G)-1)</f>
        <v>#REF!</v>
      </c>
      <c r="AR3" t="e">
        <f ca="1">1.96*AA3/SQRT(COUNT(incidence_cadaver!H:H)-1)</f>
        <v>#REF!</v>
      </c>
      <c r="AS3" t="e">
        <f ca="1">1.96*AB3/SQRT(COUNT(incidence_cadaver!I:I)-1)</f>
        <v>#REF!</v>
      </c>
      <c r="AT3" t="e">
        <f ca="1">1.96*AC3/SQRT(COUNT(incidence_cadaver!J:J)-1)</f>
        <v>#REF!</v>
      </c>
      <c r="AU3" t="e">
        <f ca="1">1.96*AD3/SQRT(COUNT(incidence_cadaver!K:K)-1)</f>
        <v>#REF!</v>
      </c>
      <c r="AV3" t="e">
        <f ca="1">1.96*AE3/SQRT(COUNT(incidence_cadaver!L:L)-1)</f>
        <v>#REF!</v>
      </c>
      <c r="AW3" t="e">
        <f ca="1">1.96*AF3/SQRT(COUNT(incidence_cadaver!M:M)-1)</f>
        <v>#REF!</v>
      </c>
      <c r="AX3" t="e">
        <f ca="1">1.96*AG3/SQRT(COUNT(incidence_cadaver!N:N)-1)</f>
        <v>#REF!</v>
      </c>
    </row>
    <row r="4" spans="1:50" x14ac:dyDescent="0.3">
      <c r="A4" t="s">
        <v>31</v>
      </c>
      <c r="B4" t="s">
        <v>30</v>
      </c>
      <c r="C4" t="e">
        <f ca="1">AVERAGE(OFFSET(incidence_live!B:B,1,0,COUNTA(incidence_live!B:B)-1))</f>
        <v>#REF!</v>
      </c>
      <c r="D4" t="e">
        <f ca="1">AVERAGE(OFFSET(incidence_live!C:C,1,0,COUNTA(incidence_live!C:C)-1))</f>
        <v>#REF!</v>
      </c>
      <c r="E4" t="e">
        <f ca="1">AVERAGE(OFFSET(incidence_live!D:D,1,0,COUNTA(incidence_live!D:D)-1))</f>
        <v>#REF!</v>
      </c>
      <c r="F4" t="e">
        <f ca="1">AVERAGE(OFFSET(incidence_live!E:E,1,0,COUNTA(incidence_live!E:E)-1))</f>
        <v>#REF!</v>
      </c>
      <c r="G4" t="e">
        <f ca="1">AVERAGE(OFFSET(incidence_live!F:F,1,0,COUNTA(incidence_live!F:F)-1))</f>
        <v>#REF!</v>
      </c>
      <c r="H4" t="e">
        <f ca="1">AVERAGE(OFFSET(incidence_live!G:G,1,0,COUNTA(incidence_live!G:G)-1))</f>
        <v>#REF!</v>
      </c>
      <c r="I4" t="e">
        <f ca="1">AVERAGE(OFFSET(incidence_live!H:H,1,0,COUNTA(incidence_live!H:H)-1))</f>
        <v>#REF!</v>
      </c>
      <c r="J4" t="e">
        <f ca="1">AVERAGE(OFFSET(incidence_live!I:I,1,0,COUNTA(incidence_live!I:I)-1))</f>
        <v>#REF!</v>
      </c>
      <c r="K4" t="e">
        <f ca="1">AVERAGE(OFFSET(incidence_live!J:J,1,0,COUNTA(incidence_live!J:J)-1))</f>
        <v>#REF!</v>
      </c>
      <c r="L4" t="e">
        <f ca="1">AVERAGE(OFFSET(incidence_live!K:K,1,0,COUNTA(incidence_live!K:K)-1))</f>
        <v>#REF!</v>
      </c>
      <c r="M4" t="e">
        <f ca="1">AVERAGE(OFFSET(incidence_live!L:L,1,0,COUNTA(incidence_live!L:L)-1))</f>
        <v>#REF!</v>
      </c>
      <c r="N4" t="e">
        <f ca="1">AVERAGE(OFFSET(incidence_live!M:M,1,0,COUNTA(incidence_live!M:M)-1))</f>
        <v>#REF!</v>
      </c>
      <c r="O4" t="e">
        <f ca="1">AVERAGE(OFFSET(incidence_live!N:N,1,0,COUNTA(incidence_live!N:N)-1))</f>
        <v>#REF!</v>
      </c>
      <c r="P4" t="e">
        <f ca="1">AVERAGE(OFFSET(incidence_live!O:O,1,0,COUNTA(incidence_live!O:O)-1))</f>
        <v>#REF!</v>
      </c>
      <c r="R4" t="s">
        <v>31</v>
      </c>
      <c r="S4" t="s">
        <v>30</v>
      </c>
      <c r="T4" t="e">
        <f ca="1">_xlfn.STDEV.S(OFFSET(incidence_live!B:B,1,0,COUNTA(incidence_live!B:B)-1))</f>
        <v>#REF!</v>
      </c>
      <c r="U4" t="e">
        <f ca="1">_xlfn.STDEV.S(OFFSET(incidence_live!C:C,1,0,COUNTA(incidence_live!C:C)-1))</f>
        <v>#REF!</v>
      </c>
      <c r="V4" t="e">
        <f ca="1">_xlfn.STDEV.S(OFFSET(incidence_live!D:D,1,0,COUNTA(incidence_live!D:D)-1))</f>
        <v>#REF!</v>
      </c>
      <c r="W4" t="e">
        <f ca="1">_xlfn.STDEV.S(OFFSET(incidence_live!E:E,1,0,COUNTA(incidence_live!E:E)-1))</f>
        <v>#REF!</v>
      </c>
      <c r="X4" t="e">
        <f ca="1">_xlfn.STDEV.S(OFFSET(incidence_live!F:F,1,0,COUNTA(incidence_live!F:F)-1))</f>
        <v>#REF!</v>
      </c>
      <c r="Y4" t="e">
        <f ca="1">_xlfn.STDEV.S(OFFSET(incidence_live!G:G,1,0,COUNTA(incidence_live!G:G)-1))</f>
        <v>#REF!</v>
      </c>
      <c r="Z4" t="e">
        <f ca="1">_xlfn.STDEV.S(OFFSET(incidence_live!H:H,1,0,COUNTA(incidence_live!H:H)-1))</f>
        <v>#REF!</v>
      </c>
      <c r="AA4" t="e">
        <f ca="1">_xlfn.STDEV.S(OFFSET(incidence_live!I:I,1,0,COUNTA(incidence_live!I:I)-1))</f>
        <v>#REF!</v>
      </c>
      <c r="AB4" t="e">
        <f ca="1">_xlfn.STDEV.S(OFFSET(incidence_live!J:J,1,0,COUNTA(incidence_live!J:J)-1))</f>
        <v>#REF!</v>
      </c>
      <c r="AC4" t="e">
        <f ca="1">_xlfn.STDEV.S(OFFSET(incidence_live!K:K,1,0,COUNTA(incidence_live!K:K)-1))</f>
        <v>#REF!</v>
      </c>
      <c r="AD4" t="e">
        <f ca="1">_xlfn.STDEV.S(OFFSET(incidence_live!L:L,1,0,COUNTA(incidence_live!L:L)-1))</f>
        <v>#REF!</v>
      </c>
      <c r="AE4" t="e">
        <f ca="1">_xlfn.STDEV.S(OFFSET(incidence_live!M:M,1,0,COUNTA(incidence_live!M:M)-1))</f>
        <v>#REF!</v>
      </c>
      <c r="AF4" t="e">
        <f ca="1">_xlfn.STDEV.S(OFFSET(incidence_live!N:N,1,0,COUNTA(incidence_live!N:N)-1))</f>
        <v>#REF!</v>
      </c>
      <c r="AG4" t="e">
        <f ca="1">_xlfn.STDEV.S(OFFSET(incidence_live!O:O,1,0,COUNTA(incidence_live!O:O)-1))</f>
        <v>#REF!</v>
      </c>
      <c r="AI4" t="s">
        <v>31</v>
      </c>
      <c r="AJ4" t="s">
        <v>30</v>
      </c>
      <c r="AK4">
        <v>0</v>
      </c>
      <c r="AL4" t="e">
        <f ca="1">1.96*U4/SQRT(COUNT(incidence_cadaver!B:B)-1)</f>
        <v>#REF!</v>
      </c>
      <c r="AM4" t="e">
        <f ca="1">1.96*V4/SQRT(COUNT(incidence_cadaver!C:C)-1)</f>
        <v>#REF!</v>
      </c>
      <c r="AN4" t="e">
        <f ca="1">1.96*W4/SQRT(COUNT(incidence_cadaver!D:D)-1)</f>
        <v>#REF!</v>
      </c>
      <c r="AO4" t="e">
        <f ca="1">1.96*X4/SQRT(COUNT(incidence_cadaver!E:E)-1)</f>
        <v>#REF!</v>
      </c>
      <c r="AP4" t="e">
        <f ca="1">1.96*Y4/SQRT(COUNT(incidence_cadaver!F:F)-1)</f>
        <v>#REF!</v>
      </c>
      <c r="AQ4" t="e">
        <f ca="1">1.96*Z4/SQRT(COUNT(incidence_cadaver!G:G)-1)</f>
        <v>#REF!</v>
      </c>
      <c r="AR4" t="e">
        <f ca="1">1.96*AA4/SQRT(COUNT(incidence_cadaver!H:H)-1)</f>
        <v>#REF!</v>
      </c>
      <c r="AS4" t="e">
        <f ca="1">1.96*AB4/SQRT(COUNT(incidence_cadaver!I:I)-1)</f>
        <v>#REF!</v>
      </c>
      <c r="AT4" t="e">
        <f ca="1">1.96*AC4/SQRT(COUNT(incidence_cadaver!J:J)-1)</f>
        <v>#REF!</v>
      </c>
      <c r="AU4" t="e">
        <f ca="1">1.96*AD4/SQRT(COUNT(incidence_cadaver!K:K)-1)</f>
        <v>#REF!</v>
      </c>
      <c r="AV4" t="e">
        <f ca="1">1.96*AE4/SQRT(COUNT(incidence_cadaver!L:L)-1)</f>
        <v>#REF!</v>
      </c>
      <c r="AW4" t="e">
        <f ca="1">1.96*AF4/SQRT(COUNT(incidence_cadaver!M:M)-1)</f>
        <v>#REF!</v>
      </c>
      <c r="AX4" t="e">
        <f ca="1">1.96*AG4/SQRT(COUNT(incidence_cadaver!N:N)-1)</f>
        <v>#REF!</v>
      </c>
    </row>
    <row r="5" spans="1:50" x14ac:dyDescent="0.3">
      <c r="A5" t="s">
        <v>10</v>
      </c>
      <c r="B5" t="s">
        <v>30</v>
      </c>
      <c r="C5" t="e">
        <f ca="1">AVERAGE(OFFSET(incidence_ichd!B:B,1,0,COUNTA(incidence_ichd!B:B)-1))</f>
        <v>#REF!</v>
      </c>
      <c r="D5" t="e">
        <f ca="1">AVERAGE(OFFSET(incidence_ichd!C:C,1,0,COUNTA(incidence_ichd!C:C)-1))</f>
        <v>#REF!</v>
      </c>
      <c r="E5" t="e">
        <f ca="1">AVERAGE(OFFSET(incidence_ichd!D:D,1,0,COUNTA(incidence_ichd!D:D)-1))</f>
        <v>#REF!</v>
      </c>
      <c r="F5" t="e">
        <f ca="1">AVERAGE(OFFSET(incidence_ichd!E:E,1,0,COUNTA(incidence_ichd!E:E)-1))</f>
        <v>#REF!</v>
      </c>
      <c r="G5" t="e">
        <f ca="1">AVERAGE(OFFSET(incidence_ichd!F:F,1,0,COUNTA(incidence_ichd!F:F)-1))</f>
        <v>#REF!</v>
      </c>
      <c r="H5" t="e">
        <f ca="1">AVERAGE(OFFSET(incidence_ichd!G:G,1,0,COUNTA(incidence_ichd!G:G)-1))</f>
        <v>#REF!</v>
      </c>
      <c r="I5" t="e">
        <f ca="1">AVERAGE(OFFSET(incidence_ichd!H:H,1,0,COUNTA(incidence_ichd!H:H)-1))</f>
        <v>#REF!</v>
      </c>
      <c r="J5" t="e">
        <f ca="1">AVERAGE(OFFSET(incidence_ichd!I:I,1,0,COUNTA(incidence_ichd!I:I)-1))</f>
        <v>#REF!</v>
      </c>
      <c r="K5" t="e">
        <f ca="1">AVERAGE(OFFSET(incidence_ichd!J:J,1,0,COUNTA(incidence_ichd!J:J)-1))</f>
        <v>#REF!</v>
      </c>
      <c r="L5" t="e">
        <f ca="1">AVERAGE(OFFSET(incidence_ichd!K:K,1,0,COUNTA(incidence_ichd!K:K)-1))</f>
        <v>#REF!</v>
      </c>
      <c r="M5" t="e">
        <f ca="1">AVERAGE(OFFSET(incidence_ichd!L:L,1,0,COUNTA(incidence_ichd!L:L)-1))</f>
        <v>#REF!</v>
      </c>
      <c r="N5" t="e">
        <f ca="1">AVERAGE(OFFSET(incidence_ichd!M:M,1,0,COUNTA(incidence_ichd!M:M)-1))</f>
        <v>#REF!</v>
      </c>
      <c r="O5" t="e">
        <f ca="1">AVERAGE(OFFSET(incidence_ichd!N:N,1,0,COUNTA(incidence_ichd!N:N)-1))</f>
        <v>#REF!</v>
      </c>
      <c r="P5" t="e">
        <f ca="1">AVERAGE(OFFSET(incidence_ichd!O:O,1,0,COUNTA(incidence_ichd!O:O)-1))</f>
        <v>#REF!</v>
      </c>
      <c r="R5" t="s">
        <v>10</v>
      </c>
      <c r="S5" t="s">
        <v>30</v>
      </c>
      <c r="T5" t="e">
        <f ca="1">_xlfn.STDEV.S(OFFSET(incidence_live!B:B,1,0,COUNTA(incidence_live!B:B)-1))</f>
        <v>#REF!</v>
      </c>
      <c r="U5" t="e">
        <f ca="1">_xlfn.STDEV.S(OFFSET(incidence_live!C:C,1,0,COUNTA(incidence_live!C:C)-1))</f>
        <v>#REF!</v>
      </c>
      <c r="V5" t="e">
        <f ca="1">_xlfn.STDEV.S(OFFSET(incidence_live!D:D,1,0,COUNTA(incidence_live!D:D)-1))</f>
        <v>#REF!</v>
      </c>
      <c r="W5" t="e">
        <f ca="1">_xlfn.STDEV.S(OFFSET(incidence_live!E:E,1,0,COUNTA(incidence_live!E:E)-1))</f>
        <v>#REF!</v>
      </c>
      <c r="X5" t="e">
        <f ca="1">_xlfn.STDEV.S(OFFSET(incidence_live!F:F,1,0,COUNTA(incidence_live!F:F)-1))</f>
        <v>#REF!</v>
      </c>
      <c r="Y5" t="e">
        <f ca="1">_xlfn.STDEV.S(OFFSET(incidence_live!G:G,1,0,COUNTA(incidence_live!G:G)-1))</f>
        <v>#REF!</v>
      </c>
      <c r="Z5" t="e">
        <f ca="1">_xlfn.STDEV.S(OFFSET(incidence_live!H:H,1,0,COUNTA(incidence_live!H:H)-1))</f>
        <v>#REF!</v>
      </c>
      <c r="AA5" t="e">
        <f ca="1">_xlfn.STDEV.S(OFFSET(incidence_live!I:I,1,0,COUNTA(incidence_live!I:I)-1))</f>
        <v>#REF!</v>
      </c>
      <c r="AB5" t="e">
        <f ca="1">_xlfn.STDEV.S(OFFSET(incidence_live!J:J,1,0,COUNTA(incidence_live!J:J)-1))</f>
        <v>#REF!</v>
      </c>
      <c r="AC5" t="e">
        <f ca="1">_xlfn.STDEV.S(OFFSET(incidence_live!K:K,1,0,COUNTA(incidence_live!K:K)-1))</f>
        <v>#REF!</v>
      </c>
      <c r="AD5" t="e">
        <f ca="1">_xlfn.STDEV.S(OFFSET(incidence_live!L:L,1,0,COUNTA(incidence_live!L:L)-1))</f>
        <v>#REF!</v>
      </c>
      <c r="AE5" t="e">
        <f ca="1">_xlfn.STDEV.S(OFFSET(incidence_live!M:M,1,0,COUNTA(incidence_live!M:M)-1))</f>
        <v>#REF!</v>
      </c>
      <c r="AF5" t="e">
        <f ca="1">_xlfn.STDEV.S(OFFSET(incidence_live!N:N,1,0,COUNTA(incidence_live!N:N)-1))</f>
        <v>#REF!</v>
      </c>
      <c r="AG5" t="e">
        <f ca="1">_xlfn.STDEV.S(OFFSET(incidence_live!O:O,1,0,COUNTA(incidence_live!O:O)-1))</f>
        <v>#REF!</v>
      </c>
      <c r="AI5" t="s">
        <v>10</v>
      </c>
      <c r="AJ5" t="s">
        <v>30</v>
      </c>
      <c r="AK5">
        <v>0</v>
      </c>
      <c r="AL5" t="e">
        <f ca="1">1.96*U5/SQRT(COUNT(incidence_cadaver!B:B)-1)</f>
        <v>#REF!</v>
      </c>
      <c r="AM5" t="e">
        <f ca="1">1.96*V5/SQRT(COUNT(incidence_cadaver!C:C)-1)</f>
        <v>#REF!</v>
      </c>
      <c r="AN5" t="e">
        <f ca="1">1.96*W5/SQRT(COUNT(incidence_cadaver!D:D)-1)</f>
        <v>#REF!</v>
      </c>
      <c r="AO5" t="e">
        <f ca="1">1.96*X5/SQRT(COUNT(incidence_cadaver!E:E)-1)</f>
        <v>#REF!</v>
      </c>
      <c r="AP5" t="e">
        <f ca="1">1.96*Y5/SQRT(COUNT(incidence_cadaver!F:F)-1)</f>
        <v>#REF!</v>
      </c>
      <c r="AQ5" t="e">
        <f ca="1">1.96*Z5/SQRT(COUNT(incidence_cadaver!G:G)-1)</f>
        <v>#REF!</v>
      </c>
      <c r="AR5" t="e">
        <f ca="1">1.96*AA5/SQRT(COUNT(incidence_cadaver!H:H)-1)</f>
        <v>#REF!</v>
      </c>
      <c r="AS5" t="e">
        <f ca="1">1.96*AB5/SQRT(COUNT(incidence_cadaver!I:I)-1)</f>
        <v>#REF!</v>
      </c>
      <c r="AT5" t="e">
        <f ca="1">1.96*AC5/SQRT(COUNT(incidence_cadaver!J:J)-1)</f>
        <v>#REF!</v>
      </c>
      <c r="AU5" t="e">
        <f ca="1">1.96*AD5/SQRT(COUNT(incidence_cadaver!K:K)-1)</f>
        <v>#REF!</v>
      </c>
      <c r="AV5" t="e">
        <f ca="1">1.96*AE5/SQRT(COUNT(incidence_cadaver!L:L)-1)</f>
        <v>#REF!</v>
      </c>
      <c r="AW5" t="e">
        <f ca="1">1.96*AF5/SQRT(COUNT(incidence_cadaver!M:M)-1)</f>
        <v>#REF!</v>
      </c>
      <c r="AX5" t="e">
        <f ca="1">1.96*AG5/SQRT(COUNT(incidence_cadaver!N:N)-1)</f>
        <v>#REF!</v>
      </c>
    </row>
    <row r="6" spans="1:50" x14ac:dyDescent="0.3">
      <c r="A6" t="s">
        <v>11</v>
      </c>
      <c r="B6" t="s">
        <v>30</v>
      </c>
      <c r="C6" t="e">
        <f ca="1">AVERAGE(OFFSET(incidence_hhd!B:B,1,0,COUNTA(incidence_hhd!B:B)-1))</f>
        <v>#REF!</v>
      </c>
      <c r="D6" t="e">
        <f ca="1">AVERAGE(OFFSET(incidence_hhd!C:C,1,0,COUNTA(incidence_hhd!C:C)-1))</f>
        <v>#REF!</v>
      </c>
      <c r="E6" t="e">
        <f ca="1">AVERAGE(OFFSET(incidence_hhd!D:D,1,0,COUNTA(incidence_hhd!D:D)-1))</f>
        <v>#REF!</v>
      </c>
      <c r="F6" t="e">
        <f ca="1">AVERAGE(OFFSET(incidence_hhd!E:E,1,0,COUNTA(incidence_hhd!E:E)-1))</f>
        <v>#REF!</v>
      </c>
      <c r="G6" t="e">
        <f ca="1">AVERAGE(OFFSET(incidence_hhd!F:F,1,0,COUNTA(incidence_hhd!F:F)-1))</f>
        <v>#REF!</v>
      </c>
      <c r="H6" t="e">
        <f ca="1">AVERAGE(OFFSET(incidence_hhd!G:G,1,0,COUNTA(incidence_hhd!G:G)-1))</f>
        <v>#REF!</v>
      </c>
      <c r="I6" t="e">
        <f ca="1">AVERAGE(OFFSET(incidence_hhd!H:H,1,0,COUNTA(incidence_hhd!H:H)-1))</f>
        <v>#REF!</v>
      </c>
      <c r="J6" t="e">
        <f ca="1">AVERAGE(OFFSET(incidence_hhd!I:I,1,0,COUNTA(incidence_hhd!I:I)-1))</f>
        <v>#REF!</v>
      </c>
      <c r="K6" t="e">
        <f ca="1">AVERAGE(OFFSET(incidence_hhd!J:J,1,0,COUNTA(incidence_hhd!J:J)-1))</f>
        <v>#REF!</v>
      </c>
      <c r="L6" t="e">
        <f ca="1">AVERAGE(OFFSET(incidence_hhd!K:K,1,0,COUNTA(incidence_hhd!K:K)-1))</f>
        <v>#REF!</v>
      </c>
      <c r="M6" t="e">
        <f ca="1">AVERAGE(OFFSET(incidence_hhd!L:L,1,0,COUNTA(incidence_hhd!L:L)-1))</f>
        <v>#REF!</v>
      </c>
      <c r="N6" t="e">
        <f ca="1">AVERAGE(OFFSET(incidence_hhd!M:M,1,0,COUNTA(incidence_hhd!M:M)-1))</f>
        <v>#REF!</v>
      </c>
      <c r="O6" t="e">
        <f ca="1">AVERAGE(OFFSET(incidence_hhd!N:N,1,0,COUNTA(incidence_hhd!N:N)-1))</f>
        <v>#REF!</v>
      </c>
      <c r="P6" t="e">
        <f ca="1">AVERAGE(OFFSET(incidence_hhd!O:O,1,0,COUNTA(incidence_hhd!O:O)-1))</f>
        <v>#REF!</v>
      </c>
      <c r="R6" t="s">
        <v>11</v>
      </c>
      <c r="S6" t="s">
        <v>30</v>
      </c>
      <c r="T6" t="e">
        <f ca="1">_xlfn.STDEV.S(OFFSET(incidence_ichd!B:B,1,0,COUNTA(incidence_ichd!B:B)-1))</f>
        <v>#REF!</v>
      </c>
      <c r="U6" t="e">
        <f ca="1">_xlfn.STDEV.S(OFFSET(incidence_ichd!C:C,1,0,COUNTA(incidence_ichd!C:C)-1))</f>
        <v>#REF!</v>
      </c>
      <c r="V6" t="e">
        <f ca="1">_xlfn.STDEV.S(OFFSET(incidence_ichd!D:D,1,0,COUNTA(incidence_ichd!D:D)-1))</f>
        <v>#REF!</v>
      </c>
      <c r="W6" t="e">
        <f ca="1">_xlfn.STDEV.S(OFFSET(incidence_ichd!E:E,1,0,COUNTA(incidence_ichd!E:E)-1))</f>
        <v>#REF!</v>
      </c>
      <c r="X6" t="e">
        <f ca="1">_xlfn.STDEV.S(OFFSET(incidence_ichd!F:F,1,0,COUNTA(incidence_ichd!F:F)-1))</f>
        <v>#REF!</v>
      </c>
      <c r="Y6" t="e">
        <f ca="1">_xlfn.STDEV.S(OFFSET(incidence_ichd!G:G,1,0,COUNTA(incidence_ichd!G:G)-1))</f>
        <v>#REF!</v>
      </c>
      <c r="Z6" t="e">
        <f ca="1">_xlfn.STDEV.S(OFFSET(incidence_ichd!H:H,1,0,COUNTA(incidence_ichd!H:H)-1))</f>
        <v>#REF!</v>
      </c>
      <c r="AA6" t="e">
        <f ca="1">_xlfn.STDEV.S(OFFSET(incidence_ichd!I:I,1,0,COUNTA(incidence_ichd!I:I)-1))</f>
        <v>#REF!</v>
      </c>
      <c r="AB6" t="e">
        <f ca="1">_xlfn.STDEV.S(OFFSET(incidence_ichd!J:J,1,0,COUNTA(incidence_ichd!J:J)-1))</f>
        <v>#REF!</v>
      </c>
      <c r="AC6" t="e">
        <f ca="1">_xlfn.STDEV.S(OFFSET(incidence_ichd!K:K,1,0,COUNTA(incidence_ichd!K:K)-1))</f>
        <v>#REF!</v>
      </c>
      <c r="AD6" t="e">
        <f ca="1">_xlfn.STDEV.S(OFFSET(incidence_ichd!L:L,1,0,COUNTA(incidence_ichd!L:L)-1))</f>
        <v>#REF!</v>
      </c>
      <c r="AE6" t="e">
        <f ca="1">_xlfn.STDEV.S(OFFSET(incidence_ichd!M:M,1,0,COUNTA(incidence_ichd!M:M)-1))</f>
        <v>#REF!</v>
      </c>
      <c r="AF6" t="e">
        <f ca="1">_xlfn.STDEV.S(OFFSET(incidence_ichd!N:N,1,0,COUNTA(incidence_ichd!N:N)-1))</f>
        <v>#REF!</v>
      </c>
      <c r="AG6" t="e">
        <f ca="1">_xlfn.STDEV.S(OFFSET(incidence_ichd!O:O,1,0,COUNTA(incidence_ichd!O:O)-1))</f>
        <v>#REF!</v>
      </c>
      <c r="AI6" t="s">
        <v>11</v>
      </c>
      <c r="AJ6" t="s">
        <v>30</v>
      </c>
      <c r="AK6">
        <v>0</v>
      </c>
      <c r="AL6" t="e">
        <f ca="1">1.96*U6/SQRT(COUNT(incidence_cadaver!B:B)-1)</f>
        <v>#REF!</v>
      </c>
      <c r="AM6" t="e">
        <f ca="1">1.96*V6/SQRT(COUNT(incidence_cadaver!C:C)-1)</f>
        <v>#REF!</v>
      </c>
      <c r="AN6" t="e">
        <f ca="1">1.96*W6/SQRT(COUNT(incidence_cadaver!D:D)-1)</f>
        <v>#REF!</v>
      </c>
      <c r="AO6" t="e">
        <f ca="1">1.96*X6/SQRT(COUNT(incidence_cadaver!E:E)-1)</f>
        <v>#REF!</v>
      </c>
      <c r="AP6" t="e">
        <f ca="1">1.96*Y6/SQRT(COUNT(incidence_cadaver!F:F)-1)</f>
        <v>#REF!</v>
      </c>
      <c r="AQ6" t="e">
        <f ca="1">1.96*Z6/SQRT(COUNT(incidence_cadaver!G:G)-1)</f>
        <v>#REF!</v>
      </c>
      <c r="AR6" t="e">
        <f ca="1">1.96*AA6/SQRT(COUNT(incidence_cadaver!H:H)-1)</f>
        <v>#REF!</v>
      </c>
      <c r="AS6" t="e">
        <f ca="1">1.96*AB6/SQRT(COUNT(incidence_cadaver!I:I)-1)</f>
        <v>#REF!</v>
      </c>
      <c r="AT6" t="e">
        <f ca="1">1.96*AC6/SQRT(COUNT(incidence_cadaver!J:J)-1)</f>
        <v>#REF!</v>
      </c>
      <c r="AU6" t="e">
        <f ca="1">1.96*AD6/SQRT(COUNT(incidence_cadaver!K:K)-1)</f>
        <v>#REF!</v>
      </c>
      <c r="AV6" t="e">
        <f ca="1">1.96*AE6/SQRT(COUNT(incidence_cadaver!L:L)-1)</f>
        <v>#REF!</v>
      </c>
      <c r="AW6" t="e">
        <f ca="1">1.96*AF6/SQRT(COUNT(incidence_cadaver!M:M)-1)</f>
        <v>#REF!</v>
      </c>
      <c r="AX6" t="e">
        <f ca="1">1.96*AG6/SQRT(COUNT(incidence_cadaver!N:N)-1)</f>
        <v>#REF!</v>
      </c>
    </row>
    <row r="7" spans="1:50" x14ac:dyDescent="0.3">
      <c r="A7" t="s">
        <v>12</v>
      </c>
      <c r="B7" t="s">
        <v>30</v>
      </c>
      <c r="C7" t="e">
        <f ca="1">AVERAGE(OFFSET(incidence_pd!B:B,1,0,COUNTA(incidence_pd!B:B)-1))</f>
        <v>#REF!</v>
      </c>
      <c r="D7" t="e">
        <f ca="1">AVERAGE(OFFSET(incidence_pd!C:C,1,0,COUNTA(incidence_pd!C:C)-1))</f>
        <v>#REF!</v>
      </c>
      <c r="E7" t="e">
        <f ca="1">AVERAGE(OFFSET(incidence_pd!D:D,1,0,COUNTA(incidence_pd!D:D)-1))</f>
        <v>#REF!</v>
      </c>
      <c r="F7" t="e">
        <f ca="1">AVERAGE(OFFSET(incidence_pd!E:E,1,0,COUNTA(incidence_pd!E:E)-1))</f>
        <v>#REF!</v>
      </c>
      <c r="G7" t="e">
        <f ca="1">AVERAGE(OFFSET(incidence_pd!F:F,1,0,COUNTA(incidence_pd!F:F)-1))</f>
        <v>#REF!</v>
      </c>
      <c r="H7" t="e">
        <f ca="1">AVERAGE(OFFSET(incidence_pd!G:G,1,0,COUNTA(incidence_pd!G:G)-1))</f>
        <v>#REF!</v>
      </c>
      <c r="I7" t="e">
        <f ca="1">AVERAGE(OFFSET(incidence_pd!H:H,1,0,COUNTA(incidence_pd!H:H)-1))</f>
        <v>#REF!</v>
      </c>
      <c r="J7" t="e">
        <f ca="1">AVERAGE(OFFSET(incidence_pd!I:I,1,0,COUNTA(incidence_pd!I:I)-1))</f>
        <v>#REF!</v>
      </c>
      <c r="K7" t="e">
        <f ca="1">AVERAGE(OFFSET(incidence_pd!J:J,1,0,COUNTA(incidence_pd!J:J)-1))</f>
        <v>#REF!</v>
      </c>
      <c r="L7" t="e">
        <f ca="1">AVERAGE(OFFSET(incidence_pd!K:K,1,0,COUNTA(incidence_pd!K:K)-1))</f>
        <v>#REF!</v>
      </c>
      <c r="M7" t="e">
        <f ca="1">AVERAGE(OFFSET(incidence_pd!L:L,1,0,COUNTA(incidence_pd!L:L)-1))</f>
        <v>#REF!</v>
      </c>
      <c r="N7" t="e">
        <f ca="1">AVERAGE(OFFSET(incidence_pd!M:M,1,0,COUNTA(incidence_pd!M:M)-1))</f>
        <v>#REF!</v>
      </c>
      <c r="O7" t="e">
        <f ca="1">AVERAGE(OFFSET(incidence_pd!N:N,1,0,COUNTA(incidence_pd!N:N)-1))</f>
        <v>#REF!</v>
      </c>
      <c r="P7" t="e">
        <f ca="1">AVERAGE(OFFSET(incidence_pd!O:O,1,0,COUNTA(incidence_pd!O:O)-1))</f>
        <v>#REF!</v>
      </c>
      <c r="R7" t="s">
        <v>12</v>
      </c>
      <c r="S7" t="s">
        <v>30</v>
      </c>
      <c r="T7" t="e">
        <f ca="1">_xlfn.STDEV.S(OFFSET(incidence_pd!B:B,1,0,COUNTA(incidence_pd!B:B)-1))</f>
        <v>#REF!</v>
      </c>
      <c r="U7" t="e">
        <f ca="1">_xlfn.STDEV.S(OFFSET(incidence_pd!C:C,1,0,COUNTA(incidence_pd!C:C)-1))</f>
        <v>#REF!</v>
      </c>
      <c r="V7" t="e">
        <f ca="1">_xlfn.STDEV.S(OFFSET(incidence_pd!D:D,1,0,COUNTA(incidence_pd!D:D)-1))</f>
        <v>#REF!</v>
      </c>
      <c r="W7" t="e">
        <f ca="1">_xlfn.STDEV.S(OFFSET(incidence_pd!E:E,1,0,COUNTA(incidence_pd!E:E)-1))</f>
        <v>#REF!</v>
      </c>
      <c r="X7" t="e">
        <f ca="1">_xlfn.STDEV.S(OFFSET(incidence_pd!F:F,1,0,COUNTA(incidence_pd!F:F)-1))</f>
        <v>#REF!</v>
      </c>
      <c r="Y7" t="e">
        <f ca="1">_xlfn.STDEV.S(OFFSET(incidence_pd!G:G,1,0,COUNTA(incidence_pd!G:G)-1))</f>
        <v>#REF!</v>
      </c>
      <c r="Z7" t="e">
        <f ca="1">_xlfn.STDEV.S(OFFSET(incidence_pd!H:H,1,0,COUNTA(incidence_pd!H:H)-1))</f>
        <v>#REF!</v>
      </c>
      <c r="AA7" t="e">
        <f ca="1">_xlfn.STDEV.S(OFFSET(incidence_pd!I:I,1,0,COUNTA(incidence_pd!I:I)-1))</f>
        <v>#REF!</v>
      </c>
      <c r="AB7" t="e">
        <f ca="1">_xlfn.STDEV.S(OFFSET(incidence_pd!J:J,1,0,COUNTA(incidence_pd!J:J)-1))</f>
        <v>#REF!</v>
      </c>
      <c r="AC7" t="e">
        <f ca="1">_xlfn.STDEV.S(OFFSET(incidence_pd!K:K,1,0,COUNTA(incidence_pd!K:K)-1))</f>
        <v>#REF!</v>
      </c>
      <c r="AD7" t="e">
        <f ca="1">_xlfn.STDEV.S(OFFSET(incidence_pd!L:L,1,0,COUNTA(incidence_pd!L:L)-1))</f>
        <v>#REF!</v>
      </c>
      <c r="AE7" t="e">
        <f ca="1">_xlfn.STDEV.S(OFFSET(incidence_pd!M:M,1,0,COUNTA(incidence_pd!M:M)-1))</f>
        <v>#REF!</v>
      </c>
      <c r="AF7" t="e">
        <f ca="1">_xlfn.STDEV.S(OFFSET(incidence_pd!N:N,1,0,COUNTA(incidence_pd!N:N)-1))</f>
        <v>#REF!</v>
      </c>
      <c r="AG7" t="e">
        <f ca="1">_xlfn.STDEV.S(OFFSET(incidence_pd!O:O,1,0,COUNTA(incidence_pd!O:O)-1))</f>
        <v>#REF!</v>
      </c>
      <c r="AI7" t="s">
        <v>12</v>
      </c>
      <c r="AJ7" t="s">
        <v>30</v>
      </c>
      <c r="AK7">
        <v>0</v>
      </c>
      <c r="AL7" t="e">
        <f ca="1">1.96*U7/SQRT(COUNT(incidence_cadaver!B:B)-1)</f>
        <v>#REF!</v>
      </c>
      <c r="AM7" t="e">
        <f ca="1">1.96*V7/SQRT(COUNT(incidence_cadaver!C:C)-1)</f>
        <v>#REF!</v>
      </c>
      <c r="AN7" t="e">
        <f ca="1">1.96*W7/SQRT(COUNT(incidence_cadaver!D:D)-1)</f>
        <v>#REF!</v>
      </c>
      <c r="AO7" t="e">
        <f ca="1">1.96*X7/SQRT(COUNT(incidence_cadaver!E:E)-1)</f>
        <v>#REF!</v>
      </c>
      <c r="AP7" t="e">
        <f ca="1">1.96*Y7/SQRT(COUNT(incidence_cadaver!F:F)-1)</f>
        <v>#REF!</v>
      </c>
      <c r="AQ7" t="e">
        <f ca="1">1.96*Z7/SQRT(COUNT(incidence_cadaver!G:G)-1)</f>
        <v>#REF!</v>
      </c>
      <c r="AR7" t="e">
        <f ca="1">1.96*AA7/SQRT(COUNT(incidence_cadaver!H:H)-1)</f>
        <v>#REF!</v>
      </c>
      <c r="AS7" t="e">
        <f ca="1">1.96*AB7/SQRT(COUNT(incidence_cadaver!I:I)-1)</f>
        <v>#REF!</v>
      </c>
      <c r="AT7" t="e">
        <f ca="1">1.96*AC7/SQRT(COUNT(incidence_cadaver!J:J)-1)</f>
        <v>#REF!</v>
      </c>
      <c r="AU7" t="e">
        <f ca="1">1.96*AD7/SQRT(COUNT(incidence_cadaver!K:K)-1)</f>
        <v>#REF!</v>
      </c>
      <c r="AV7" t="e">
        <f ca="1">1.96*AE7/SQRT(COUNT(incidence_cadaver!L:L)-1)</f>
        <v>#REF!</v>
      </c>
      <c r="AW7" t="e">
        <f ca="1">1.96*AF7/SQRT(COUNT(incidence_cadaver!M:M)-1)</f>
        <v>#REF!</v>
      </c>
      <c r="AX7" t="e">
        <f ca="1">1.96*AG7/SQRT(COUNT(incidence_cadaver!N:N)-1)</f>
        <v>#REF!</v>
      </c>
    </row>
    <row r="9" spans="1:50" x14ac:dyDescent="0.3">
      <c r="A9" s="23" t="s">
        <v>32</v>
      </c>
      <c r="R9" t="s">
        <v>32</v>
      </c>
      <c r="AI9" t="s">
        <v>32</v>
      </c>
    </row>
    <row r="10" spans="1:50" x14ac:dyDescent="0.3">
      <c r="A10" t="s">
        <v>33</v>
      </c>
      <c r="B10" t="s">
        <v>30</v>
      </c>
      <c r="C10" t="e">
        <f ca="1">SUM(C11:C15)</f>
        <v>#REF!</v>
      </c>
      <c r="D10" t="e">
        <f t="shared" ref="D10:O10" ca="1" si="13">SUM(D11:D15)</f>
        <v>#REF!</v>
      </c>
      <c r="E10" t="e">
        <f t="shared" ca="1" si="13"/>
        <v>#REF!</v>
      </c>
      <c r="F10" t="e">
        <f t="shared" ca="1" si="13"/>
        <v>#REF!</v>
      </c>
      <c r="G10" t="e">
        <f t="shared" ca="1" si="13"/>
        <v>#REF!</v>
      </c>
      <c r="H10" t="e">
        <f t="shared" ca="1" si="13"/>
        <v>#REF!</v>
      </c>
      <c r="I10" t="e">
        <f t="shared" ca="1" si="13"/>
        <v>#REF!</v>
      </c>
      <c r="J10" t="e">
        <f t="shared" ca="1" si="13"/>
        <v>#REF!</v>
      </c>
      <c r="K10" t="e">
        <f t="shared" ca="1" si="13"/>
        <v>#REF!</v>
      </c>
      <c r="L10" t="e">
        <f t="shared" ca="1" si="13"/>
        <v>#REF!</v>
      </c>
      <c r="M10" t="e">
        <f t="shared" ca="1" si="13"/>
        <v>#REF!</v>
      </c>
      <c r="N10" t="e">
        <f t="shared" ca="1" si="13"/>
        <v>#REF!</v>
      </c>
      <c r="O10" t="e">
        <f t="shared" ca="1" si="13"/>
        <v>#REF!</v>
      </c>
      <c r="P10" t="e">
        <f ca="1">SUM(P11:P15)</f>
        <v>#REF!</v>
      </c>
      <c r="R10" t="s">
        <v>33</v>
      </c>
      <c r="S10" t="s">
        <v>30</v>
      </c>
      <c r="T10">
        <f ca="1">_xlfn.STDEV.S(OFFSET(prevalence_total!B:B,1,0,COUNTA(prevalence_total!B:B)-1))</f>
        <v>0</v>
      </c>
      <c r="U10">
        <f ca="1">_xlfn.STDEV.S(OFFSET(prevalence_total!C:C,1,0,COUNTA(prevalence_total!C:C)-1))</f>
        <v>0</v>
      </c>
      <c r="V10">
        <f ca="1">_xlfn.STDEV.S(OFFSET(prevalence_total!D:D,1,0,COUNTA(prevalence_total!D:D)-1))</f>
        <v>0</v>
      </c>
      <c r="W10">
        <f ca="1">_xlfn.STDEV.S(OFFSET(prevalence_total!E:E,1,0,COUNTA(prevalence_total!E:E)-1))</f>
        <v>0</v>
      </c>
      <c r="X10">
        <f ca="1">_xlfn.STDEV.S(OFFSET(prevalence_total!F:F,1,0,COUNTA(prevalence_total!F:F)-1))</f>
        <v>0</v>
      </c>
      <c r="Y10">
        <f ca="1">_xlfn.STDEV.S(OFFSET(prevalence_total!G:G,1,0,COUNTA(prevalence_total!G:G)-1))</f>
        <v>0</v>
      </c>
      <c r="Z10">
        <f ca="1">_xlfn.STDEV.S(OFFSET(prevalence_total!H:H,1,0,COUNTA(prevalence_total!H:H)-1))</f>
        <v>0</v>
      </c>
      <c r="AA10">
        <f ca="1">_xlfn.STDEV.S(OFFSET(prevalence_total!I:I,1,0,COUNTA(prevalence_total!I:I)-1))</f>
        <v>0</v>
      </c>
      <c r="AB10">
        <f ca="1">_xlfn.STDEV.S(OFFSET(prevalence_total!J:J,1,0,COUNTA(prevalence_total!J:J)-1))</f>
        <v>0</v>
      </c>
      <c r="AC10">
        <f ca="1">_xlfn.STDEV.S(OFFSET(prevalence_total!K:K,1,0,COUNTA(prevalence_total!K:K)-1))</f>
        <v>0</v>
      </c>
      <c r="AD10">
        <f ca="1">_xlfn.STDEV.S(OFFSET(prevalence_total!L:L,1,0,COUNTA(prevalence_total!L:L)-1))</f>
        <v>0</v>
      </c>
      <c r="AE10">
        <f ca="1">_xlfn.STDEV.S(OFFSET(prevalence_total!M:M,1,0,COUNTA(prevalence_total!M:M)-1))</f>
        <v>0</v>
      </c>
      <c r="AF10">
        <f ca="1">_xlfn.STDEV.S(OFFSET(prevalence_total!N:N,1,0,COUNTA(prevalence_total!N:N)-1))</f>
        <v>0</v>
      </c>
      <c r="AG10">
        <f ca="1">_xlfn.STDEV.S(OFFSET(prevalence_total!O:O,1,0,COUNTA(prevalence_total!O:O)-1))</f>
        <v>0</v>
      </c>
      <c r="AI10" t="s">
        <v>33</v>
      </c>
      <c r="AJ10" t="s">
        <v>30</v>
      </c>
      <c r="AK10">
        <v>0</v>
      </c>
      <c r="AL10" t="e">
        <f ca="1">1.96*U10/SQRT(COUNT(incidence_cadaver!B:B)-1)</f>
        <v>#DIV/0!</v>
      </c>
      <c r="AM10" t="e">
        <f ca="1">1.96*V10/SQRT(COUNT(incidence_cadaver!C:C)-1)</f>
        <v>#DIV/0!</v>
      </c>
      <c r="AN10" t="e">
        <f ca="1">1.96*W10/SQRT(COUNT(incidence_cadaver!D:D)-1)</f>
        <v>#DIV/0!</v>
      </c>
      <c r="AO10" t="e">
        <f ca="1">1.96*X10/SQRT(COUNT(incidence_cadaver!E:E)-1)</f>
        <v>#DIV/0!</v>
      </c>
      <c r="AP10" t="e">
        <f ca="1">1.96*Y10/SQRT(COUNT(incidence_cadaver!F:F)-1)</f>
        <v>#DIV/0!</v>
      </c>
      <c r="AQ10" t="e">
        <f ca="1">1.96*Z10/SQRT(COUNT(incidence_cadaver!G:G)-1)</f>
        <v>#DIV/0!</v>
      </c>
      <c r="AR10" t="e">
        <f ca="1">1.96*AA10/SQRT(COUNT(incidence_cadaver!H:H)-1)</f>
        <v>#DIV/0!</v>
      </c>
      <c r="AS10" t="e">
        <f ca="1">1.96*AB10/SQRT(COUNT(incidence_cadaver!I:I)-1)</f>
        <v>#DIV/0!</v>
      </c>
      <c r="AT10" t="e">
        <f ca="1">1.96*AC10/SQRT(COUNT(incidence_cadaver!J:J)-1)</f>
        <v>#DIV/0!</v>
      </c>
      <c r="AU10" t="e">
        <f ca="1">1.96*AD10/SQRT(COUNT(incidence_cadaver!K:K)-1)</f>
        <v>#DIV/0!</v>
      </c>
      <c r="AV10" t="e">
        <f ca="1">1.96*AE10/SQRT(COUNT(incidence_cadaver!L:L)-1)</f>
        <v>#DIV/0!</v>
      </c>
      <c r="AW10" t="e">
        <f ca="1">1.96*AF10/SQRT(COUNT(incidence_cadaver!M:M)-1)</f>
        <v>#DIV/0!</v>
      </c>
      <c r="AX10" t="e">
        <f ca="1">1.96*AG10/SQRT(COUNT(incidence_cadaver!N:N)-1)</f>
        <v>#DIV/0!</v>
      </c>
    </row>
    <row r="11" spans="1:50" x14ac:dyDescent="0.3">
      <c r="A11" t="s">
        <v>29</v>
      </c>
      <c r="B11" t="s">
        <v>30</v>
      </c>
      <c r="C11" t="e">
        <f ca="1">AVERAGE(OFFSET(prevalence_cadaver!B:B,1,0,COUNTA(prevalence_cadaver!B:B)-1))</f>
        <v>#REF!</v>
      </c>
      <c r="D11" t="e">
        <f ca="1">AVERAGE(OFFSET(prevalence_cadaver!C:C,1,0,COUNTA(prevalence_cadaver!C:C)-1))</f>
        <v>#REF!</v>
      </c>
      <c r="E11" t="e">
        <f ca="1">AVERAGE(OFFSET(prevalence_cadaver!D:D,1,0,COUNTA(prevalence_cadaver!D:D)-1))</f>
        <v>#REF!</v>
      </c>
      <c r="F11" t="e">
        <f ca="1">AVERAGE(OFFSET(prevalence_cadaver!E:E,1,0,COUNTA(prevalence_cadaver!E:E)-1))</f>
        <v>#REF!</v>
      </c>
      <c r="G11" t="e">
        <f ca="1">AVERAGE(OFFSET(prevalence_cadaver!F:F,1,0,COUNTA(prevalence_cadaver!F:F)-1))</f>
        <v>#REF!</v>
      </c>
      <c r="H11" t="e">
        <f ca="1">AVERAGE(OFFSET(prevalence_cadaver!G:G,1,0,COUNTA(prevalence_cadaver!G:G)-1))</f>
        <v>#REF!</v>
      </c>
      <c r="I11" t="e">
        <f ca="1">AVERAGE(OFFSET(prevalence_cadaver!H:H,1,0,COUNTA(prevalence_cadaver!H:H)-1))</f>
        <v>#REF!</v>
      </c>
      <c r="J11" t="e">
        <f ca="1">AVERAGE(OFFSET(prevalence_cadaver!I:I,1,0,COUNTA(prevalence_cadaver!I:I)-1))</f>
        <v>#REF!</v>
      </c>
      <c r="K11" t="e">
        <f ca="1">AVERAGE(OFFSET(prevalence_cadaver!J:J,1,0,COUNTA(prevalence_cadaver!J:J)-1))</f>
        <v>#REF!</v>
      </c>
      <c r="L11" t="e">
        <f ca="1">AVERAGE(OFFSET(prevalence_cadaver!K:K,1,0,COUNTA(prevalence_cadaver!K:K)-1))</f>
        <v>#REF!</v>
      </c>
      <c r="M11" t="e">
        <f ca="1">AVERAGE(OFFSET(prevalence_cadaver!L:L,1,0,COUNTA(prevalence_cadaver!L:L)-1))</f>
        <v>#REF!</v>
      </c>
      <c r="N11" t="e">
        <f ca="1">AVERAGE(OFFSET(prevalence_cadaver!M:M,1,0,COUNTA(prevalence_cadaver!M:M)-1))</f>
        <v>#REF!</v>
      </c>
      <c r="O11" t="e">
        <f ca="1">AVERAGE(OFFSET(prevalence_cadaver!N:N,1,0,COUNTA(prevalence_cadaver!N:N)-1))</f>
        <v>#REF!</v>
      </c>
      <c r="P11" t="e">
        <f ca="1">AVERAGE(OFFSET(prevalence_cadaver!O:O,1,0,COUNTA(prevalence_cadaver!O:O)-1))</f>
        <v>#REF!</v>
      </c>
      <c r="R11" t="s">
        <v>29</v>
      </c>
      <c r="S11" t="s">
        <v>30</v>
      </c>
      <c r="T11" t="e">
        <f ca="1">_xlfn.STDEV.S(OFFSET(prevalence_cadaver!B:B,1,0,COUNTA(prevalence_cadaver!B:B)-1))</f>
        <v>#REF!</v>
      </c>
      <c r="U11" t="e">
        <f ca="1">_xlfn.STDEV.S(OFFSET(prevalence_cadaver!C:C,1,0,COUNTA(prevalence_cadaver!C:C)-1))</f>
        <v>#REF!</v>
      </c>
      <c r="V11" t="e">
        <f ca="1">_xlfn.STDEV.S(OFFSET(prevalence_cadaver!D:D,1,0,COUNTA(prevalence_cadaver!D:D)-1))</f>
        <v>#REF!</v>
      </c>
      <c r="W11" t="e">
        <f ca="1">_xlfn.STDEV.S(OFFSET(prevalence_cadaver!E:E,1,0,COUNTA(prevalence_cadaver!E:E)-1))</f>
        <v>#REF!</v>
      </c>
      <c r="X11" t="e">
        <f ca="1">_xlfn.STDEV.S(OFFSET(prevalence_cadaver!F:F,1,0,COUNTA(prevalence_cadaver!F:F)-1))</f>
        <v>#REF!</v>
      </c>
      <c r="Y11" t="e">
        <f ca="1">_xlfn.STDEV.S(OFFSET(prevalence_cadaver!G:G,1,0,COUNTA(prevalence_cadaver!G:G)-1))</f>
        <v>#REF!</v>
      </c>
      <c r="Z11" t="e">
        <f ca="1">_xlfn.STDEV.S(OFFSET(prevalence_cadaver!H:H,1,0,COUNTA(prevalence_cadaver!H:H)-1))</f>
        <v>#REF!</v>
      </c>
      <c r="AA11" t="e">
        <f ca="1">_xlfn.STDEV.S(OFFSET(prevalence_cadaver!I:I,1,0,COUNTA(prevalence_cadaver!I:I)-1))</f>
        <v>#REF!</v>
      </c>
      <c r="AB11" t="e">
        <f ca="1">_xlfn.STDEV.S(OFFSET(prevalence_cadaver!J:J,1,0,COUNTA(prevalence_cadaver!J:J)-1))</f>
        <v>#REF!</v>
      </c>
      <c r="AC11" t="e">
        <f ca="1">_xlfn.STDEV.S(OFFSET(prevalence_cadaver!K:K,1,0,COUNTA(prevalence_cadaver!K:K)-1))</f>
        <v>#REF!</v>
      </c>
      <c r="AD11" t="e">
        <f ca="1">_xlfn.STDEV.S(OFFSET(prevalence_cadaver!L:L,1,0,COUNTA(prevalence_cadaver!L:L)-1))</f>
        <v>#REF!</v>
      </c>
      <c r="AE11" t="e">
        <f ca="1">_xlfn.STDEV.S(OFFSET(prevalence_cadaver!M:M,1,0,COUNTA(prevalence_cadaver!M:M)-1))</f>
        <v>#REF!</v>
      </c>
      <c r="AF11" t="e">
        <f ca="1">_xlfn.STDEV.S(OFFSET(prevalence_cadaver!N:N,1,0,COUNTA(prevalence_cadaver!N:N)-1))</f>
        <v>#REF!</v>
      </c>
      <c r="AG11" t="e">
        <f ca="1">_xlfn.STDEV.S(OFFSET(prevalence_cadaver!O:O,1,0,COUNTA(prevalence_cadaver!O:O)-1))</f>
        <v>#REF!</v>
      </c>
      <c r="AI11" t="s">
        <v>29</v>
      </c>
      <c r="AJ11" t="s">
        <v>30</v>
      </c>
      <c r="AK11">
        <v>0</v>
      </c>
      <c r="AL11" t="e">
        <f ca="1">1.96*U11/SQRT(COUNT(incidence_cadaver!B:B)-1)</f>
        <v>#REF!</v>
      </c>
      <c r="AM11" t="e">
        <f ca="1">1.96*V11/SQRT(COUNT(incidence_cadaver!C:C)-1)</f>
        <v>#REF!</v>
      </c>
      <c r="AN11" t="e">
        <f ca="1">1.96*W11/SQRT(COUNT(incidence_cadaver!D:D)-1)</f>
        <v>#REF!</v>
      </c>
      <c r="AO11" t="e">
        <f ca="1">1.96*X11/SQRT(COUNT(incidence_cadaver!E:E)-1)</f>
        <v>#REF!</v>
      </c>
      <c r="AP11" t="e">
        <f ca="1">1.96*Y11/SQRT(COUNT(incidence_cadaver!F:F)-1)</f>
        <v>#REF!</v>
      </c>
      <c r="AQ11" t="e">
        <f ca="1">1.96*Z11/SQRT(COUNT(incidence_cadaver!G:G)-1)</f>
        <v>#REF!</v>
      </c>
      <c r="AR11" t="e">
        <f ca="1">1.96*AA11/SQRT(COUNT(incidence_cadaver!H:H)-1)</f>
        <v>#REF!</v>
      </c>
      <c r="AS11" t="e">
        <f ca="1">1.96*AB11/SQRT(COUNT(incidence_cadaver!I:I)-1)</f>
        <v>#REF!</v>
      </c>
      <c r="AT11" t="e">
        <f ca="1">1.96*AC11/SQRT(COUNT(incidence_cadaver!J:J)-1)</f>
        <v>#REF!</v>
      </c>
      <c r="AU11" t="e">
        <f ca="1">1.96*AD11/SQRT(COUNT(incidence_cadaver!K:K)-1)</f>
        <v>#REF!</v>
      </c>
      <c r="AV11" t="e">
        <f ca="1">1.96*AE11/SQRT(COUNT(incidence_cadaver!L:L)-1)</f>
        <v>#REF!</v>
      </c>
      <c r="AW11" t="e">
        <f ca="1">1.96*AF11/SQRT(COUNT(incidence_cadaver!M:M)-1)</f>
        <v>#REF!</v>
      </c>
      <c r="AX11" t="e">
        <f ca="1">1.96*AG11/SQRT(COUNT(incidence_cadaver!N:N)-1)</f>
        <v>#REF!</v>
      </c>
    </row>
    <row r="12" spans="1:50" x14ac:dyDescent="0.3">
      <c r="A12" t="s">
        <v>31</v>
      </c>
      <c r="B12" t="s">
        <v>30</v>
      </c>
      <c r="C12" t="e">
        <f ca="1">AVERAGE(OFFSET(prevalence_live!B:B,1,0,COUNTA(prevalence_live!B:B)-1))</f>
        <v>#REF!</v>
      </c>
      <c r="D12" t="e">
        <f ca="1">AVERAGE(OFFSET(prevalence_live!C:C,1,0,COUNTA(prevalence_live!C:C)-1))</f>
        <v>#REF!</v>
      </c>
      <c r="E12" t="e">
        <f ca="1">AVERAGE(OFFSET(prevalence_live!D:D,1,0,COUNTA(prevalence_live!D:D)-1))</f>
        <v>#REF!</v>
      </c>
      <c r="F12" t="e">
        <f ca="1">AVERAGE(OFFSET(prevalence_live!E:E,1,0,COUNTA(prevalence_live!E:E)-1))</f>
        <v>#REF!</v>
      </c>
      <c r="G12" t="e">
        <f ca="1">AVERAGE(OFFSET(prevalence_live!F:F,1,0,COUNTA(prevalence_live!F:F)-1))</f>
        <v>#REF!</v>
      </c>
      <c r="H12" t="e">
        <f ca="1">AVERAGE(OFFSET(prevalence_live!G:G,1,0,COUNTA(prevalence_live!G:G)-1))</f>
        <v>#REF!</v>
      </c>
      <c r="I12" t="e">
        <f ca="1">AVERAGE(OFFSET(prevalence_live!H:H,1,0,COUNTA(prevalence_live!H:H)-1))</f>
        <v>#REF!</v>
      </c>
      <c r="J12" t="e">
        <f ca="1">AVERAGE(OFFSET(prevalence_live!I:I,1,0,COUNTA(prevalence_live!I:I)-1))</f>
        <v>#REF!</v>
      </c>
      <c r="K12" t="e">
        <f ca="1">AVERAGE(OFFSET(prevalence_live!J:J,1,0,COUNTA(prevalence_live!J:J)-1))</f>
        <v>#REF!</v>
      </c>
      <c r="L12" t="e">
        <f ca="1">AVERAGE(OFFSET(prevalence_live!K:K,1,0,COUNTA(prevalence_live!K:K)-1))</f>
        <v>#REF!</v>
      </c>
      <c r="M12" t="e">
        <f ca="1">AVERAGE(OFFSET(prevalence_live!L:L,1,0,COUNTA(prevalence_live!L:L)-1))</f>
        <v>#REF!</v>
      </c>
      <c r="N12" t="e">
        <f ca="1">AVERAGE(OFFSET(prevalence_live!M:M,1,0,COUNTA(prevalence_live!M:M)-1))</f>
        <v>#REF!</v>
      </c>
      <c r="O12" t="e">
        <f ca="1">AVERAGE(OFFSET(prevalence_live!N:N,1,0,COUNTA(prevalence_live!N:N)-1))</f>
        <v>#REF!</v>
      </c>
      <c r="P12" t="e">
        <f ca="1">AVERAGE(OFFSET(prevalence_live!O:O,1,0,COUNTA(prevalence_live!O:O)-1))</f>
        <v>#REF!</v>
      </c>
      <c r="R12" t="s">
        <v>31</v>
      </c>
      <c r="S12" t="s">
        <v>30</v>
      </c>
      <c r="T12" t="e">
        <f ca="1">_xlfn.STDEV.S(OFFSET(prevalence_live!B:B,1,0,COUNTA(prevalence_live!B:B)-1))</f>
        <v>#REF!</v>
      </c>
      <c r="U12" t="e">
        <f ca="1">_xlfn.STDEV.S(OFFSET(prevalence_live!C:C,1,0,COUNTA(prevalence_live!C:C)-1))</f>
        <v>#REF!</v>
      </c>
      <c r="V12" t="e">
        <f ca="1">_xlfn.STDEV.S(OFFSET(prevalence_live!D:D,1,0,COUNTA(prevalence_live!D:D)-1))</f>
        <v>#REF!</v>
      </c>
      <c r="W12" t="e">
        <f ca="1">_xlfn.STDEV.S(OFFSET(prevalence_live!E:E,1,0,COUNTA(prevalence_live!E:E)-1))</f>
        <v>#REF!</v>
      </c>
      <c r="X12" t="e">
        <f ca="1">_xlfn.STDEV.S(OFFSET(prevalence_live!F:F,1,0,COUNTA(prevalence_live!F:F)-1))</f>
        <v>#REF!</v>
      </c>
      <c r="Y12" t="e">
        <f ca="1">_xlfn.STDEV.S(OFFSET(prevalence_live!G:G,1,0,COUNTA(prevalence_live!G:G)-1))</f>
        <v>#REF!</v>
      </c>
      <c r="Z12" t="e">
        <f ca="1">_xlfn.STDEV.S(OFFSET(prevalence_live!H:H,1,0,COUNTA(prevalence_live!H:H)-1))</f>
        <v>#REF!</v>
      </c>
      <c r="AA12" t="e">
        <f ca="1">_xlfn.STDEV.S(OFFSET(prevalence_live!I:I,1,0,COUNTA(prevalence_live!I:I)-1))</f>
        <v>#REF!</v>
      </c>
      <c r="AB12" t="e">
        <f ca="1">_xlfn.STDEV.S(OFFSET(prevalence_live!J:J,1,0,COUNTA(prevalence_live!J:J)-1))</f>
        <v>#REF!</v>
      </c>
      <c r="AC12" t="e">
        <f ca="1">_xlfn.STDEV.S(OFFSET(prevalence_live!K:K,1,0,COUNTA(prevalence_live!K:K)-1))</f>
        <v>#REF!</v>
      </c>
      <c r="AD12" t="e">
        <f ca="1">_xlfn.STDEV.S(OFFSET(prevalence_live!L:L,1,0,COUNTA(prevalence_live!L:L)-1))</f>
        <v>#REF!</v>
      </c>
      <c r="AE12" t="e">
        <f ca="1">_xlfn.STDEV.S(OFFSET(prevalence_live!M:M,1,0,COUNTA(prevalence_live!M:M)-1))</f>
        <v>#REF!</v>
      </c>
      <c r="AF12" t="e">
        <f ca="1">_xlfn.STDEV.S(OFFSET(prevalence_live!N:N,1,0,COUNTA(prevalence_live!N:N)-1))</f>
        <v>#REF!</v>
      </c>
      <c r="AG12" t="e">
        <f ca="1">_xlfn.STDEV.S(OFFSET(prevalence_live!O:O,1,0,COUNTA(prevalence_live!O:O)-1))</f>
        <v>#REF!</v>
      </c>
      <c r="AI12" t="s">
        <v>31</v>
      </c>
      <c r="AJ12" t="s">
        <v>30</v>
      </c>
      <c r="AK12">
        <v>0</v>
      </c>
      <c r="AL12" t="e">
        <f ca="1">1.96*U12/SQRT(COUNT(incidence_cadaver!B:B)-1)</f>
        <v>#REF!</v>
      </c>
      <c r="AM12" t="e">
        <f ca="1">1.96*V12/SQRT(COUNT(incidence_cadaver!C:C)-1)</f>
        <v>#REF!</v>
      </c>
      <c r="AN12" t="e">
        <f ca="1">1.96*W12/SQRT(COUNT(incidence_cadaver!D:D)-1)</f>
        <v>#REF!</v>
      </c>
      <c r="AO12" t="e">
        <f ca="1">1.96*X12/SQRT(COUNT(incidence_cadaver!E:E)-1)</f>
        <v>#REF!</v>
      </c>
      <c r="AP12" t="e">
        <f ca="1">1.96*Y12/SQRT(COUNT(incidence_cadaver!F:F)-1)</f>
        <v>#REF!</v>
      </c>
      <c r="AQ12" t="e">
        <f ca="1">1.96*Z12/SQRT(COUNT(incidence_cadaver!G:G)-1)</f>
        <v>#REF!</v>
      </c>
      <c r="AR12" t="e">
        <f ca="1">1.96*AA12/SQRT(COUNT(incidence_cadaver!H:H)-1)</f>
        <v>#REF!</v>
      </c>
      <c r="AS12" t="e">
        <f ca="1">1.96*AB12/SQRT(COUNT(incidence_cadaver!I:I)-1)</f>
        <v>#REF!</v>
      </c>
      <c r="AT12" t="e">
        <f ca="1">1.96*AC12/SQRT(COUNT(incidence_cadaver!J:J)-1)</f>
        <v>#REF!</v>
      </c>
      <c r="AU12" t="e">
        <f ca="1">1.96*AD12/SQRT(COUNT(incidence_cadaver!K:K)-1)</f>
        <v>#REF!</v>
      </c>
      <c r="AV12" t="e">
        <f ca="1">1.96*AE12/SQRT(COUNT(incidence_cadaver!L:L)-1)</f>
        <v>#REF!</v>
      </c>
      <c r="AW12" t="e">
        <f ca="1">1.96*AF12/SQRT(COUNT(incidence_cadaver!M:M)-1)</f>
        <v>#REF!</v>
      </c>
      <c r="AX12" t="e">
        <f ca="1">1.96*AG12/SQRT(COUNT(incidence_cadaver!N:N)-1)</f>
        <v>#REF!</v>
      </c>
    </row>
    <row r="13" spans="1:50" x14ac:dyDescent="0.3">
      <c r="A13" t="s">
        <v>10</v>
      </c>
      <c r="B13" t="s">
        <v>30</v>
      </c>
      <c r="C13" t="e">
        <f ca="1">AVERAGE(OFFSET(prevalence_ichd!B:B,1,0,COUNTA(prevalence_ichd!B:B)-1))</f>
        <v>#REF!</v>
      </c>
      <c r="D13" t="e">
        <f ca="1">AVERAGE(OFFSET(prevalence_ichd!C:C,1,0,COUNTA(prevalence_ichd!C:C)-1))</f>
        <v>#REF!</v>
      </c>
      <c r="E13" t="e">
        <f ca="1">AVERAGE(OFFSET(prevalence_ichd!D:D,1,0,COUNTA(prevalence_ichd!D:D)-1))</f>
        <v>#REF!</v>
      </c>
      <c r="F13" t="e">
        <f ca="1">AVERAGE(OFFSET(prevalence_ichd!E:E,1,0,COUNTA(prevalence_ichd!E:E)-1))</f>
        <v>#REF!</v>
      </c>
      <c r="G13" t="e">
        <f ca="1">AVERAGE(OFFSET(prevalence_ichd!F:F,1,0,COUNTA(prevalence_ichd!F:F)-1))</f>
        <v>#REF!</v>
      </c>
      <c r="H13" t="e">
        <f ca="1">AVERAGE(OFFSET(prevalence_ichd!G:G,1,0,COUNTA(prevalence_ichd!G:G)-1))</f>
        <v>#REF!</v>
      </c>
      <c r="I13" t="e">
        <f ca="1">AVERAGE(OFFSET(prevalence_ichd!H:H,1,0,COUNTA(prevalence_ichd!H:H)-1))</f>
        <v>#REF!</v>
      </c>
      <c r="J13" t="e">
        <f ca="1">AVERAGE(OFFSET(prevalence_ichd!I:I,1,0,COUNTA(prevalence_ichd!I:I)-1))</f>
        <v>#REF!</v>
      </c>
      <c r="K13" t="e">
        <f ca="1">AVERAGE(OFFSET(prevalence_ichd!J:J,1,0,COUNTA(prevalence_ichd!J:J)-1))</f>
        <v>#REF!</v>
      </c>
      <c r="L13" t="e">
        <f ca="1">AVERAGE(OFFSET(prevalence_ichd!K:K,1,0,COUNTA(prevalence_ichd!K:K)-1))</f>
        <v>#REF!</v>
      </c>
      <c r="M13" t="e">
        <f ca="1">AVERAGE(OFFSET(prevalence_ichd!L:L,1,0,COUNTA(prevalence_ichd!L:L)-1))</f>
        <v>#REF!</v>
      </c>
      <c r="N13" t="e">
        <f ca="1">AVERAGE(OFFSET(prevalence_ichd!M:M,1,0,COUNTA(prevalence_ichd!M:M)-1))</f>
        <v>#REF!</v>
      </c>
      <c r="O13" t="e">
        <f ca="1">AVERAGE(OFFSET(prevalence_ichd!N:N,1,0,COUNTA(prevalence_ichd!N:N)-1))</f>
        <v>#REF!</v>
      </c>
      <c r="P13" t="e">
        <f ca="1">AVERAGE(OFFSET(prevalence_ichd!O:O,1,0,COUNTA(prevalence_ichd!O:O)-1))</f>
        <v>#REF!</v>
      </c>
      <c r="R13" t="s">
        <v>10</v>
      </c>
      <c r="S13" t="s">
        <v>30</v>
      </c>
      <c r="T13" t="e">
        <f ca="1">_xlfn.STDEV.S(OFFSET(prevalence_ichd!B:B,1,0,COUNTA(prevalence_ichd!B:B)-1))</f>
        <v>#REF!</v>
      </c>
      <c r="U13" t="e">
        <f ca="1">_xlfn.STDEV.S(OFFSET(prevalence_ichd!C:C,1,0,COUNTA(prevalence_ichd!C:C)-1))</f>
        <v>#REF!</v>
      </c>
      <c r="V13" t="e">
        <f ca="1">_xlfn.STDEV.S(OFFSET(prevalence_ichd!D:D,1,0,COUNTA(prevalence_ichd!D:D)-1))</f>
        <v>#REF!</v>
      </c>
      <c r="W13" t="e">
        <f ca="1">_xlfn.STDEV.S(OFFSET(prevalence_ichd!E:E,1,0,COUNTA(prevalence_ichd!E:E)-1))</f>
        <v>#REF!</v>
      </c>
      <c r="X13" t="e">
        <f ca="1">_xlfn.STDEV.S(OFFSET(prevalence_ichd!F:F,1,0,COUNTA(prevalence_ichd!F:F)-1))</f>
        <v>#REF!</v>
      </c>
      <c r="Y13" t="e">
        <f ca="1">_xlfn.STDEV.S(OFFSET(prevalence_ichd!G:G,1,0,COUNTA(prevalence_ichd!G:G)-1))</f>
        <v>#REF!</v>
      </c>
      <c r="Z13" t="e">
        <f ca="1">_xlfn.STDEV.S(OFFSET(prevalence_ichd!H:H,1,0,COUNTA(prevalence_ichd!H:H)-1))</f>
        <v>#REF!</v>
      </c>
      <c r="AA13" t="e">
        <f ca="1">_xlfn.STDEV.S(OFFSET(prevalence_ichd!I:I,1,0,COUNTA(prevalence_ichd!I:I)-1))</f>
        <v>#REF!</v>
      </c>
      <c r="AB13" t="e">
        <f ca="1">_xlfn.STDEV.S(OFFSET(prevalence_ichd!J:J,1,0,COUNTA(prevalence_ichd!J:J)-1))</f>
        <v>#REF!</v>
      </c>
      <c r="AC13" t="e">
        <f ca="1">_xlfn.STDEV.S(OFFSET(prevalence_ichd!K:K,1,0,COUNTA(prevalence_ichd!K:K)-1))</f>
        <v>#REF!</v>
      </c>
      <c r="AD13" t="e">
        <f ca="1">_xlfn.STDEV.S(OFFSET(prevalence_ichd!L:L,1,0,COUNTA(prevalence_ichd!L:L)-1))</f>
        <v>#REF!</v>
      </c>
      <c r="AE13" t="e">
        <f ca="1">_xlfn.STDEV.S(OFFSET(prevalence_ichd!M:M,1,0,COUNTA(prevalence_ichd!M:M)-1))</f>
        <v>#REF!</v>
      </c>
      <c r="AF13" t="e">
        <f ca="1">_xlfn.STDEV.S(OFFSET(prevalence_ichd!N:N,1,0,COUNTA(prevalence_ichd!N:N)-1))</f>
        <v>#REF!</v>
      </c>
      <c r="AG13" t="e">
        <f ca="1">_xlfn.STDEV.S(OFFSET(prevalence_ichd!O:O,1,0,COUNTA(prevalence_ichd!O:O)-1))</f>
        <v>#REF!</v>
      </c>
      <c r="AI13" t="s">
        <v>10</v>
      </c>
      <c r="AJ13" t="s">
        <v>30</v>
      </c>
      <c r="AK13">
        <v>0</v>
      </c>
      <c r="AL13" t="e">
        <f ca="1">1.96*U13/SQRT(COUNT(incidence_cadaver!B:B)-1)</f>
        <v>#REF!</v>
      </c>
      <c r="AM13" t="e">
        <f ca="1">1.96*V13/SQRT(COUNT(incidence_cadaver!C:C)-1)</f>
        <v>#REF!</v>
      </c>
      <c r="AN13" t="e">
        <f ca="1">1.96*W13/SQRT(COUNT(incidence_cadaver!D:D)-1)</f>
        <v>#REF!</v>
      </c>
      <c r="AO13" t="e">
        <f ca="1">1.96*X13/SQRT(COUNT(incidence_cadaver!E:E)-1)</f>
        <v>#REF!</v>
      </c>
      <c r="AP13" t="e">
        <f ca="1">1.96*Y13/SQRT(COUNT(incidence_cadaver!F:F)-1)</f>
        <v>#REF!</v>
      </c>
      <c r="AQ13" t="e">
        <f ca="1">1.96*Z13/SQRT(COUNT(incidence_cadaver!G:G)-1)</f>
        <v>#REF!</v>
      </c>
      <c r="AR13" t="e">
        <f ca="1">1.96*AA13/SQRT(COUNT(incidence_cadaver!H:H)-1)</f>
        <v>#REF!</v>
      </c>
      <c r="AS13" t="e">
        <f ca="1">1.96*AB13/SQRT(COUNT(incidence_cadaver!I:I)-1)</f>
        <v>#REF!</v>
      </c>
      <c r="AT13" t="e">
        <f ca="1">1.96*AC13/SQRT(COUNT(incidence_cadaver!J:J)-1)</f>
        <v>#REF!</v>
      </c>
      <c r="AU13" t="e">
        <f ca="1">1.96*AD13/SQRT(COUNT(incidence_cadaver!K:K)-1)</f>
        <v>#REF!</v>
      </c>
      <c r="AV13" t="e">
        <f ca="1">1.96*AE13/SQRT(COUNT(incidence_cadaver!L:L)-1)</f>
        <v>#REF!</v>
      </c>
      <c r="AW13" t="e">
        <f ca="1">1.96*AF13/SQRT(COUNT(incidence_cadaver!M:M)-1)</f>
        <v>#REF!</v>
      </c>
      <c r="AX13" t="e">
        <f ca="1">1.96*AG13/SQRT(COUNT(incidence_cadaver!N:N)-1)</f>
        <v>#REF!</v>
      </c>
    </row>
    <row r="14" spans="1:50" x14ac:dyDescent="0.3">
      <c r="A14" t="s">
        <v>11</v>
      </c>
      <c r="B14" t="s">
        <v>30</v>
      </c>
      <c r="C14" t="e">
        <f ca="1">AVERAGE(OFFSET(prevalence_hhd!B:B,1,0,COUNTA(prevalence_hhd!B:B)-1))</f>
        <v>#REF!</v>
      </c>
      <c r="D14" t="e">
        <f ca="1">AVERAGE(OFFSET(prevalence_hhd!C:C,1,0,COUNTA(prevalence_hhd!C:C)-1))</f>
        <v>#REF!</v>
      </c>
      <c r="E14" t="e">
        <f ca="1">AVERAGE(OFFSET(prevalence_hhd!D:D,1,0,COUNTA(prevalence_hhd!D:D)-1))</f>
        <v>#REF!</v>
      </c>
      <c r="F14" t="e">
        <f ca="1">AVERAGE(OFFSET(prevalence_hhd!E:E,1,0,COUNTA(prevalence_hhd!E:E)-1))</f>
        <v>#REF!</v>
      </c>
      <c r="G14" t="e">
        <f ca="1">AVERAGE(OFFSET(prevalence_hhd!F:F,1,0,COUNTA(prevalence_hhd!F:F)-1))</f>
        <v>#REF!</v>
      </c>
      <c r="H14" t="e">
        <f ca="1">AVERAGE(OFFSET(prevalence_hhd!G:G,1,0,COUNTA(prevalence_hhd!G:G)-1))</f>
        <v>#REF!</v>
      </c>
      <c r="I14" t="e">
        <f ca="1">AVERAGE(OFFSET(prevalence_hhd!H:H,1,0,COUNTA(prevalence_hhd!H:H)-1))</f>
        <v>#REF!</v>
      </c>
      <c r="J14" t="e">
        <f ca="1">AVERAGE(OFFSET(prevalence_hhd!I:I,1,0,COUNTA(prevalence_hhd!I:I)-1))</f>
        <v>#REF!</v>
      </c>
      <c r="K14" t="e">
        <f ca="1">AVERAGE(OFFSET(prevalence_hhd!J:J,1,0,COUNTA(prevalence_hhd!J:J)-1))</f>
        <v>#REF!</v>
      </c>
      <c r="L14" t="e">
        <f ca="1">AVERAGE(OFFSET(prevalence_hhd!K:K,1,0,COUNTA(prevalence_hhd!K:K)-1))</f>
        <v>#REF!</v>
      </c>
      <c r="M14" t="e">
        <f ca="1">AVERAGE(OFFSET(prevalence_hhd!L:L,1,0,COUNTA(prevalence_hhd!L:L)-1))</f>
        <v>#REF!</v>
      </c>
      <c r="N14" t="e">
        <f ca="1">AVERAGE(OFFSET(prevalence_hhd!M:M,1,0,COUNTA(prevalence_hhd!M:M)-1))</f>
        <v>#REF!</v>
      </c>
      <c r="O14" t="e">
        <f ca="1">AVERAGE(OFFSET(prevalence_hhd!N:N,1,0,COUNTA(prevalence_hhd!N:N)-1))</f>
        <v>#REF!</v>
      </c>
      <c r="P14" t="e">
        <f ca="1">AVERAGE(OFFSET(prevalence_hhd!O:O,1,0,COUNTA(prevalence_hhd!O:O)-1))</f>
        <v>#REF!</v>
      </c>
      <c r="R14" t="s">
        <v>11</v>
      </c>
      <c r="S14" t="s">
        <v>30</v>
      </c>
      <c r="T14" t="e">
        <f ca="1">_xlfn.STDEV.S(OFFSET(prevalence_hhd!B:B,1,0,COUNTA(prevalence_hhd!B:B)-1))</f>
        <v>#REF!</v>
      </c>
      <c r="U14" t="e">
        <f ca="1">_xlfn.STDEV.S(OFFSET(prevalence_hhd!C:C,1,0,COUNTA(prevalence_hhd!C:C)-1))</f>
        <v>#REF!</v>
      </c>
      <c r="V14" t="e">
        <f ca="1">_xlfn.STDEV.S(OFFSET(prevalence_hhd!D:D,1,0,COUNTA(prevalence_hhd!D:D)-1))</f>
        <v>#REF!</v>
      </c>
      <c r="W14" t="e">
        <f ca="1">_xlfn.STDEV.S(OFFSET(prevalence_hhd!E:E,1,0,COUNTA(prevalence_hhd!E:E)-1))</f>
        <v>#REF!</v>
      </c>
      <c r="X14" t="e">
        <f ca="1">_xlfn.STDEV.S(OFFSET(prevalence_hhd!F:F,1,0,COUNTA(prevalence_hhd!F:F)-1))</f>
        <v>#REF!</v>
      </c>
      <c r="Y14" t="e">
        <f ca="1">_xlfn.STDEV.S(OFFSET(prevalence_hhd!G:G,1,0,COUNTA(prevalence_hhd!G:G)-1))</f>
        <v>#REF!</v>
      </c>
      <c r="Z14" t="e">
        <f ca="1">_xlfn.STDEV.S(OFFSET(prevalence_hhd!H:H,1,0,COUNTA(prevalence_hhd!H:H)-1))</f>
        <v>#REF!</v>
      </c>
      <c r="AA14" t="e">
        <f ca="1">_xlfn.STDEV.S(OFFSET(prevalence_hhd!I:I,1,0,COUNTA(prevalence_hhd!I:I)-1))</f>
        <v>#REF!</v>
      </c>
      <c r="AB14" t="e">
        <f ca="1">_xlfn.STDEV.S(OFFSET(prevalence_hhd!J:J,1,0,COUNTA(prevalence_hhd!J:J)-1))</f>
        <v>#REF!</v>
      </c>
      <c r="AC14" t="e">
        <f ca="1">_xlfn.STDEV.S(OFFSET(prevalence_hhd!K:K,1,0,COUNTA(prevalence_hhd!K:K)-1))</f>
        <v>#REF!</v>
      </c>
      <c r="AD14" t="e">
        <f ca="1">_xlfn.STDEV.S(OFFSET(prevalence_hhd!L:L,1,0,COUNTA(prevalence_hhd!L:L)-1))</f>
        <v>#REF!</v>
      </c>
      <c r="AE14" t="e">
        <f ca="1">_xlfn.STDEV.S(OFFSET(prevalence_hhd!M:M,1,0,COUNTA(prevalence_hhd!M:M)-1))</f>
        <v>#REF!</v>
      </c>
      <c r="AF14" t="e">
        <f ca="1">_xlfn.STDEV.S(OFFSET(prevalence_hhd!N:N,1,0,COUNTA(prevalence_hhd!N:N)-1))</f>
        <v>#REF!</v>
      </c>
      <c r="AG14" t="e">
        <f ca="1">_xlfn.STDEV.S(OFFSET(prevalence_hhd!O:O,1,0,COUNTA(prevalence_hhd!O:O)-1))</f>
        <v>#REF!</v>
      </c>
      <c r="AI14" t="s">
        <v>11</v>
      </c>
      <c r="AJ14" t="s">
        <v>30</v>
      </c>
      <c r="AK14">
        <v>0</v>
      </c>
      <c r="AL14" t="e">
        <f ca="1">1.96*U14/SQRT(COUNT(incidence_cadaver!B:B)-1)</f>
        <v>#REF!</v>
      </c>
      <c r="AM14" t="e">
        <f ca="1">1.96*V14/SQRT(COUNT(incidence_cadaver!C:C)-1)</f>
        <v>#REF!</v>
      </c>
      <c r="AN14" t="e">
        <f ca="1">1.96*W14/SQRT(COUNT(incidence_cadaver!D:D)-1)</f>
        <v>#REF!</v>
      </c>
      <c r="AO14" t="e">
        <f ca="1">1.96*X14/SQRT(COUNT(incidence_cadaver!E:E)-1)</f>
        <v>#REF!</v>
      </c>
      <c r="AP14" t="e">
        <f ca="1">1.96*Y14/SQRT(COUNT(incidence_cadaver!F:F)-1)</f>
        <v>#REF!</v>
      </c>
      <c r="AQ14" t="e">
        <f ca="1">1.96*Z14/SQRT(COUNT(incidence_cadaver!G:G)-1)</f>
        <v>#REF!</v>
      </c>
      <c r="AR14" t="e">
        <f ca="1">1.96*AA14/SQRT(COUNT(incidence_cadaver!H:H)-1)</f>
        <v>#REF!</v>
      </c>
      <c r="AS14" t="e">
        <f ca="1">1.96*AB14/SQRT(COUNT(incidence_cadaver!I:I)-1)</f>
        <v>#REF!</v>
      </c>
      <c r="AT14" t="e">
        <f ca="1">1.96*AC14/SQRT(COUNT(incidence_cadaver!J:J)-1)</f>
        <v>#REF!</v>
      </c>
      <c r="AU14" t="e">
        <f ca="1">1.96*AD14/SQRT(COUNT(incidence_cadaver!K:K)-1)</f>
        <v>#REF!</v>
      </c>
      <c r="AV14" t="e">
        <f ca="1">1.96*AE14/SQRT(COUNT(incidence_cadaver!L:L)-1)</f>
        <v>#REF!</v>
      </c>
      <c r="AW14" t="e">
        <f ca="1">1.96*AF14/SQRT(COUNT(incidence_cadaver!M:M)-1)</f>
        <v>#REF!</v>
      </c>
      <c r="AX14" t="e">
        <f ca="1">1.96*AG14/SQRT(COUNT(incidence_cadaver!N:N)-1)</f>
        <v>#REF!</v>
      </c>
    </row>
    <row r="15" spans="1:50" x14ac:dyDescent="0.3">
      <c r="A15" t="s">
        <v>12</v>
      </c>
      <c r="B15" t="s">
        <v>30</v>
      </c>
      <c r="C15" t="e">
        <f ca="1">AVERAGE(OFFSET(prevalence_pd!B:B,1,0,COUNTA(prevalence_pd!B:B)-1))</f>
        <v>#REF!</v>
      </c>
      <c r="D15" t="e">
        <f ca="1">AVERAGE(OFFSET(prevalence_pd!C:C,1,0,COUNTA(prevalence_pd!C:C)-1))</f>
        <v>#REF!</v>
      </c>
      <c r="E15" t="e">
        <f ca="1">AVERAGE(OFFSET(prevalence_pd!D:D,1,0,COUNTA(prevalence_pd!D:D)-1))</f>
        <v>#REF!</v>
      </c>
      <c r="F15" t="e">
        <f ca="1">AVERAGE(OFFSET(prevalence_pd!E:E,1,0,COUNTA(prevalence_pd!E:E)-1))</f>
        <v>#REF!</v>
      </c>
      <c r="G15" t="e">
        <f ca="1">AVERAGE(OFFSET(prevalence_pd!F:F,1,0,COUNTA(prevalence_pd!F:F)-1))</f>
        <v>#REF!</v>
      </c>
      <c r="H15" t="e">
        <f ca="1">AVERAGE(OFFSET(prevalence_pd!G:G,1,0,COUNTA(prevalence_pd!G:G)-1))</f>
        <v>#REF!</v>
      </c>
      <c r="I15" t="e">
        <f ca="1">AVERAGE(OFFSET(prevalence_pd!H:H,1,0,COUNTA(prevalence_pd!H:H)-1))</f>
        <v>#REF!</v>
      </c>
      <c r="J15" t="e">
        <f ca="1">AVERAGE(OFFSET(prevalence_pd!I:I,1,0,COUNTA(prevalence_pd!I:I)-1))</f>
        <v>#REF!</v>
      </c>
      <c r="K15" t="e">
        <f ca="1">AVERAGE(OFFSET(prevalence_pd!J:J,1,0,COUNTA(prevalence_pd!J:J)-1))</f>
        <v>#REF!</v>
      </c>
      <c r="L15" t="e">
        <f ca="1">AVERAGE(OFFSET(prevalence_pd!K:K,1,0,COUNTA(prevalence_pd!K:K)-1))</f>
        <v>#REF!</v>
      </c>
      <c r="M15" t="e">
        <f ca="1">AVERAGE(OFFSET(prevalence_pd!L:L,1,0,COUNTA(prevalence_pd!L:L)-1))</f>
        <v>#REF!</v>
      </c>
      <c r="N15" t="e">
        <f ca="1">AVERAGE(OFFSET(prevalence_pd!M:M,1,0,COUNTA(prevalence_pd!M:M)-1))</f>
        <v>#REF!</v>
      </c>
      <c r="O15" t="e">
        <f ca="1">AVERAGE(OFFSET(prevalence_pd!N:N,1,0,COUNTA(prevalence_pd!N:N)-1))</f>
        <v>#REF!</v>
      </c>
      <c r="P15" t="e">
        <f ca="1">AVERAGE(OFFSET(prevalence_pd!O:O,1,0,COUNTA(prevalence_pd!O:O)-1))</f>
        <v>#REF!</v>
      </c>
      <c r="R15" t="s">
        <v>12</v>
      </c>
      <c r="S15" t="s">
        <v>30</v>
      </c>
      <c r="T15" t="e">
        <f ca="1">_xlfn.STDEV.S(OFFSET(prevalence_pd!B:B,1,0,COUNTA(prevalence_pd!B:B)-1))</f>
        <v>#REF!</v>
      </c>
      <c r="U15" t="e">
        <f ca="1">_xlfn.STDEV.S(OFFSET(prevalence_pd!C:C,1,0,COUNTA(prevalence_pd!C:C)-1))</f>
        <v>#REF!</v>
      </c>
      <c r="V15" t="e">
        <f ca="1">_xlfn.STDEV.S(OFFSET(prevalence_pd!D:D,1,0,COUNTA(prevalence_pd!D:D)-1))</f>
        <v>#REF!</v>
      </c>
      <c r="W15" t="e">
        <f ca="1">_xlfn.STDEV.S(OFFSET(prevalence_pd!E:E,1,0,COUNTA(prevalence_pd!E:E)-1))</f>
        <v>#REF!</v>
      </c>
      <c r="X15" t="e">
        <f ca="1">_xlfn.STDEV.S(OFFSET(prevalence_pd!F:F,1,0,COUNTA(prevalence_pd!F:F)-1))</f>
        <v>#REF!</v>
      </c>
      <c r="Y15" t="e">
        <f ca="1">_xlfn.STDEV.S(OFFSET(prevalence_pd!G:G,1,0,COUNTA(prevalence_pd!G:G)-1))</f>
        <v>#REF!</v>
      </c>
      <c r="Z15" t="e">
        <f ca="1">_xlfn.STDEV.S(OFFSET(prevalence_pd!H:H,1,0,COUNTA(prevalence_pd!H:H)-1))</f>
        <v>#REF!</v>
      </c>
      <c r="AA15" t="e">
        <f ca="1">_xlfn.STDEV.S(OFFSET(prevalence_pd!I:I,1,0,COUNTA(prevalence_pd!I:I)-1))</f>
        <v>#REF!</v>
      </c>
      <c r="AB15" t="e">
        <f ca="1">_xlfn.STDEV.S(OFFSET(prevalence_pd!J:J,1,0,COUNTA(prevalence_pd!J:J)-1))</f>
        <v>#REF!</v>
      </c>
      <c r="AC15" t="e">
        <f ca="1">_xlfn.STDEV.S(OFFSET(prevalence_pd!K:K,1,0,COUNTA(prevalence_pd!K:K)-1))</f>
        <v>#REF!</v>
      </c>
      <c r="AD15" t="e">
        <f ca="1">_xlfn.STDEV.S(OFFSET(prevalence_pd!L:L,1,0,COUNTA(prevalence_pd!L:L)-1))</f>
        <v>#REF!</v>
      </c>
      <c r="AE15" t="e">
        <f ca="1">_xlfn.STDEV.S(OFFSET(prevalence_pd!M:M,1,0,COUNTA(prevalence_pd!M:M)-1))</f>
        <v>#REF!</v>
      </c>
      <c r="AF15" t="e">
        <f ca="1">_xlfn.STDEV.S(OFFSET(prevalence_pd!N:N,1,0,COUNTA(prevalence_pd!N:N)-1))</f>
        <v>#REF!</v>
      </c>
      <c r="AG15" t="e">
        <f ca="1">_xlfn.STDEV.S(OFFSET(prevalence_pd!O:O,1,0,COUNTA(prevalence_pd!O:O)-1))</f>
        <v>#REF!</v>
      </c>
      <c r="AI15" t="s">
        <v>12</v>
      </c>
      <c r="AJ15" t="s">
        <v>30</v>
      </c>
      <c r="AK15">
        <v>0</v>
      </c>
      <c r="AL15" t="e">
        <f ca="1">1.96*U15/SQRT(COUNT(incidence_cadaver!B:B)-1)</f>
        <v>#REF!</v>
      </c>
      <c r="AM15" t="e">
        <f ca="1">1.96*V15/SQRT(COUNT(incidence_cadaver!C:C)-1)</f>
        <v>#REF!</v>
      </c>
      <c r="AN15" t="e">
        <f ca="1">1.96*W15/SQRT(COUNT(incidence_cadaver!D:D)-1)</f>
        <v>#REF!</v>
      </c>
      <c r="AO15" t="e">
        <f ca="1">1.96*X15/SQRT(COUNT(incidence_cadaver!E:E)-1)</f>
        <v>#REF!</v>
      </c>
      <c r="AP15" t="e">
        <f ca="1">1.96*Y15/SQRT(COUNT(incidence_cadaver!F:F)-1)</f>
        <v>#REF!</v>
      </c>
      <c r="AQ15" t="e">
        <f ca="1">1.96*Z15/SQRT(COUNT(incidence_cadaver!G:G)-1)</f>
        <v>#REF!</v>
      </c>
      <c r="AR15" t="e">
        <f ca="1">1.96*AA15/SQRT(COUNT(incidence_cadaver!H:H)-1)</f>
        <v>#REF!</v>
      </c>
      <c r="AS15" t="e">
        <f ca="1">1.96*AB15/SQRT(COUNT(incidence_cadaver!I:I)-1)</f>
        <v>#REF!</v>
      </c>
      <c r="AT15" t="e">
        <f ca="1">1.96*AC15/SQRT(COUNT(incidence_cadaver!J:J)-1)</f>
        <v>#REF!</v>
      </c>
      <c r="AU15" t="e">
        <f ca="1">1.96*AD15/SQRT(COUNT(incidence_cadaver!K:K)-1)</f>
        <v>#REF!</v>
      </c>
      <c r="AV15" t="e">
        <f ca="1">1.96*AE15/SQRT(COUNT(incidence_cadaver!L:L)-1)</f>
        <v>#REF!</v>
      </c>
      <c r="AW15" t="e">
        <f ca="1">1.96*AF15/SQRT(COUNT(incidence_cadaver!M:M)-1)</f>
        <v>#REF!</v>
      </c>
      <c r="AX15" t="e">
        <f ca="1">1.96*AG15/SQRT(COUNT(incidence_cadaver!N:N)-1)</f>
        <v>#REF!</v>
      </c>
    </row>
    <row r="17" spans="1:50" x14ac:dyDescent="0.3">
      <c r="A17" s="23" t="s">
        <v>24</v>
      </c>
      <c r="R17" t="s">
        <v>24</v>
      </c>
      <c r="AI17" t="s">
        <v>24</v>
      </c>
    </row>
    <row r="18" spans="1:50" x14ac:dyDescent="0.3">
      <c r="A18" t="s">
        <v>33</v>
      </c>
      <c r="B18" t="s">
        <v>30</v>
      </c>
      <c r="C18" t="e">
        <f ca="1">SUM(C19:C23)</f>
        <v>#REF!</v>
      </c>
      <c r="D18" t="e">
        <f t="shared" ref="D18" ca="1" si="14">SUM(D19:D23)</f>
        <v>#REF!</v>
      </c>
      <c r="E18" t="e">
        <f t="shared" ref="E18" ca="1" si="15">SUM(E19:E23)</f>
        <v>#REF!</v>
      </c>
      <c r="F18" t="e">
        <f t="shared" ref="F18" ca="1" si="16">SUM(F19:F23)</f>
        <v>#REF!</v>
      </c>
      <c r="G18" t="e">
        <f t="shared" ref="G18" ca="1" si="17">SUM(G19:G23)</f>
        <v>#REF!</v>
      </c>
      <c r="H18" t="e">
        <f t="shared" ref="H18" ca="1" si="18">SUM(H19:H23)</f>
        <v>#REF!</v>
      </c>
      <c r="I18" t="e">
        <f t="shared" ref="I18" ca="1" si="19">SUM(I19:I23)</f>
        <v>#REF!</v>
      </c>
      <c r="J18" t="e">
        <f t="shared" ref="J18" ca="1" si="20">SUM(J19:J23)</f>
        <v>#REF!</v>
      </c>
      <c r="K18" t="e">
        <f t="shared" ref="K18" ca="1" si="21">SUM(K19:K23)</f>
        <v>#REF!</v>
      </c>
      <c r="L18" t="e">
        <f t="shared" ref="L18" ca="1" si="22">SUM(L19:L23)</f>
        <v>#REF!</v>
      </c>
      <c r="M18" t="e">
        <f t="shared" ref="M18" ca="1" si="23">SUM(M19:M23)</f>
        <v>#REF!</v>
      </c>
      <c r="N18" t="e">
        <f t="shared" ref="N18" ca="1" si="24">SUM(N19:N23)</f>
        <v>#REF!</v>
      </c>
      <c r="O18" t="e">
        <f t="shared" ref="O18" ca="1" si="25">SUM(O19:O23)</f>
        <v>#REF!</v>
      </c>
      <c r="P18" t="e">
        <f ca="1">SUM(P19:P23)</f>
        <v>#REF!</v>
      </c>
      <c r="R18" t="s">
        <v>33</v>
      </c>
      <c r="S18" t="s">
        <v>30</v>
      </c>
      <c r="T18">
        <f ca="1">_xlfn.STDEV.S(OFFSET(mortality_total!B:B,1,0,COUNTA(mortality_total!B:B)-1))</f>
        <v>0</v>
      </c>
      <c r="U18">
        <f ca="1">_xlfn.STDEV.S(OFFSET(mortality_total!C:C,1,0,COUNTA(mortality_total!C:C)-1))</f>
        <v>0</v>
      </c>
      <c r="V18">
        <f ca="1">_xlfn.STDEV.S(OFFSET(mortality_total!D:D,1,0,COUNTA(mortality_total!D:D)-1))</f>
        <v>0</v>
      </c>
      <c r="W18">
        <f ca="1">_xlfn.STDEV.S(OFFSET(mortality_total!E:E,1,0,COUNTA(mortality_total!E:E)-1))</f>
        <v>0</v>
      </c>
      <c r="X18">
        <f ca="1">_xlfn.STDEV.S(OFFSET(mortality_total!F:F,1,0,COUNTA(mortality_total!F:F)-1))</f>
        <v>0</v>
      </c>
      <c r="Y18">
        <f ca="1">_xlfn.STDEV.S(OFFSET(mortality_total!G:G,1,0,COUNTA(mortality_total!G:G)-1))</f>
        <v>0</v>
      </c>
      <c r="Z18">
        <f ca="1">_xlfn.STDEV.S(OFFSET(mortality_total!H:H,1,0,COUNTA(mortality_total!H:H)-1))</f>
        <v>0</v>
      </c>
      <c r="AA18">
        <f ca="1">_xlfn.STDEV.S(OFFSET(mortality_total!I:I,1,0,COUNTA(mortality_total!I:I)-1))</f>
        <v>0</v>
      </c>
      <c r="AB18">
        <f ca="1">_xlfn.STDEV.S(OFFSET(mortality_total!J:J,1,0,COUNTA(mortality_total!J:J)-1))</f>
        <v>0</v>
      </c>
      <c r="AC18">
        <f ca="1">_xlfn.STDEV.S(OFFSET(mortality_total!K:K,1,0,COUNTA(mortality_total!K:K)-1))</f>
        <v>0</v>
      </c>
      <c r="AD18">
        <f ca="1">_xlfn.STDEV.S(OFFSET(mortality_total!L:L,1,0,COUNTA(mortality_total!L:L)-1))</f>
        <v>0</v>
      </c>
      <c r="AE18">
        <f ca="1">_xlfn.STDEV.S(OFFSET(mortality_total!M:M,1,0,COUNTA(mortality_total!M:M)-1))</f>
        <v>0</v>
      </c>
      <c r="AF18">
        <f ca="1">_xlfn.STDEV.S(OFFSET(mortality_total!N:N,1,0,COUNTA(mortality_total!N:N)-1))</f>
        <v>0</v>
      </c>
      <c r="AG18">
        <f ca="1">_xlfn.STDEV.S(OFFSET(mortality_total!O:O,1,0,COUNTA(mortality_total!O:O)-1))</f>
        <v>0</v>
      </c>
      <c r="AI18" t="s">
        <v>33</v>
      </c>
      <c r="AJ18" t="s">
        <v>30</v>
      </c>
      <c r="AK18">
        <v>0</v>
      </c>
      <c r="AL18" t="e">
        <f ca="1">1.96*U18/SQRT(COUNT(incidence_cadaver!B:B)-1)</f>
        <v>#DIV/0!</v>
      </c>
      <c r="AM18" t="e">
        <f ca="1">1.96*V18/SQRT(COUNT(incidence_cadaver!C:C)-1)</f>
        <v>#DIV/0!</v>
      </c>
      <c r="AN18" t="e">
        <f ca="1">1.96*W18/SQRT(COUNT(incidence_cadaver!D:D)-1)</f>
        <v>#DIV/0!</v>
      </c>
      <c r="AO18" t="e">
        <f ca="1">1.96*X18/SQRT(COUNT(incidence_cadaver!E:E)-1)</f>
        <v>#DIV/0!</v>
      </c>
      <c r="AP18" t="e">
        <f ca="1">1.96*Y18/SQRT(COUNT(incidence_cadaver!F:F)-1)</f>
        <v>#DIV/0!</v>
      </c>
      <c r="AQ18" t="e">
        <f ca="1">1.96*Z18/SQRT(COUNT(incidence_cadaver!G:G)-1)</f>
        <v>#DIV/0!</v>
      </c>
      <c r="AR18" t="e">
        <f ca="1">1.96*AA18/SQRT(COUNT(incidence_cadaver!H:H)-1)</f>
        <v>#DIV/0!</v>
      </c>
      <c r="AS18" t="e">
        <f ca="1">1.96*AB18/SQRT(COUNT(incidence_cadaver!I:I)-1)</f>
        <v>#DIV/0!</v>
      </c>
      <c r="AT18" t="e">
        <f ca="1">1.96*AC18/SQRT(COUNT(incidence_cadaver!J:J)-1)</f>
        <v>#DIV/0!</v>
      </c>
      <c r="AU18" t="e">
        <f ca="1">1.96*AD18/SQRT(COUNT(incidence_cadaver!K:K)-1)</f>
        <v>#DIV/0!</v>
      </c>
      <c r="AV18" t="e">
        <f ca="1">1.96*AE18/SQRT(COUNT(incidence_cadaver!L:L)-1)</f>
        <v>#DIV/0!</v>
      </c>
      <c r="AW18" t="e">
        <f ca="1">1.96*AF18/SQRT(COUNT(incidence_cadaver!M:M)-1)</f>
        <v>#DIV/0!</v>
      </c>
      <c r="AX18" t="e">
        <f ca="1">1.96*AG18/SQRT(COUNT(incidence_cadaver!N:N)-1)</f>
        <v>#DIV/0!</v>
      </c>
    </row>
    <row r="19" spans="1:50" x14ac:dyDescent="0.3">
      <c r="A19" t="s">
        <v>29</v>
      </c>
      <c r="B19" t="s">
        <v>30</v>
      </c>
      <c r="C19" t="e">
        <f ca="1">AVERAGE(OFFSET(mortality_cadaver!B:B,1,0,COUNTA(mortality_cadaver!B:B)-1))</f>
        <v>#REF!</v>
      </c>
      <c r="D19" t="e">
        <f ca="1">AVERAGE(OFFSET(mortality_cadaver!C:C,1,0,COUNTA(mortality_cadaver!C:C)-1))</f>
        <v>#REF!</v>
      </c>
      <c r="E19" t="e">
        <f ca="1">AVERAGE(OFFSET(mortality_cadaver!D:D,1,0,COUNTA(mortality_cadaver!D:D)-1))</f>
        <v>#REF!</v>
      </c>
      <c r="F19" t="e">
        <f ca="1">AVERAGE(OFFSET(mortality_cadaver!E:E,1,0,COUNTA(mortality_cadaver!E:E)-1))</f>
        <v>#REF!</v>
      </c>
      <c r="G19" t="e">
        <f ca="1">AVERAGE(OFFSET(mortality_cadaver!F:F,1,0,COUNTA(mortality_cadaver!F:F)-1))</f>
        <v>#REF!</v>
      </c>
      <c r="H19" t="e">
        <f ca="1">AVERAGE(OFFSET(mortality_cadaver!G:G,1,0,COUNTA(mortality_cadaver!G:G)-1))</f>
        <v>#REF!</v>
      </c>
      <c r="I19" t="e">
        <f ca="1">AVERAGE(OFFSET(mortality_cadaver!H:H,1,0,COUNTA(mortality_cadaver!H:H)-1))</f>
        <v>#REF!</v>
      </c>
      <c r="J19" t="e">
        <f ca="1">AVERAGE(OFFSET(mortality_cadaver!I:I,1,0,COUNTA(mortality_cadaver!I:I)-1))</f>
        <v>#REF!</v>
      </c>
      <c r="K19" t="e">
        <f ca="1">AVERAGE(OFFSET(mortality_cadaver!J:J,1,0,COUNTA(mortality_cadaver!J:J)-1))</f>
        <v>#REF!</v>
      </c>
      <c r="L19" t="e">
        <f ca="1">AVERAGE(OFFSET(mortality_cadaver!K:K,1,0,COUNTA(mortality_cadaver!K:K)-1))</f>
        <v>#REF!</v>
      </c>
      <c r="M19" t="e">
        <f ca="1">AVERAGE(OFFSET(mortality_cadaver!L:L,1,0,COUNTA(mortality_cadaver!L:L)-1))</f>
        <v>#REF!</v>
      </c>
      <c r="N19" t="e">
        <f ca="1">AVERAGE(OFFSET(mortality_cadaver!M:M,1,0,COUNTA(mortality_cadaver!M:M)-1))</f>
        <v>#REF!</v>
      </c>
      <c r="O19" t="e">
        <f ca="1">AVERAGE(OFFSET(mortality_cadaver!N:N,1,0,COUNTA(mortality_cadaver!N:N)-1))</f>
        <v>#REF!</v>
      </c>
      <c r="P19" t="e">
        <f ca="1">AVERAGE(OFFSET(mortality_cadaver!O:O,1,0,COUNTA(mortality_cadaver!O:O)-1))</f>
        <v>#REF!</v>
      </c>
      <c r="R19" t="s">
        <v>29</v>
      </c>
      <c r="S19" t="s">
        <v>30</v>
      </c>
      <c r="T19" t="e">
        <f ca="1">_xlfn.STDEV.S(OFFSET(mortality_cadaver!B:B,1,0,COUNTA(mortality_cadaver!B:B)-1))</f>
        <v>#REF!</v>
      </c>
      <c r="U19" t="e">
        <f ca="1">_xlfn.STDEV.S(OFFSET(mortality_cadaver!C:C,1,0,COUNTA(mortality_cadaver!C:C)-1))</f>
        <v>#REF!</v>
      </c>
      <c r="V19" t="e">
        <f ca="1">_xlfn.STDEV.S(OFFSET(mortality_cadaver!D:D,1,0,COUNTA(mortality_cadaver!D:D)-1))</f>
        <v>#REF!</v>
      </c>
      <c r="W19" t="e">
        <f ca="1">_xlfn.STDEV.S(OFFSET(mortality_cadaver!E:E,1,0,COUNTA(mortality_cadaver!E:E)-1))</f>
        <v>#REF!</v>
      </c>
      <c r="X19" t="e">
        <f ca="1">_xlfn.STDEV.S(OFFSET(mortality_cadaver!F:F,1,0,COUNTA(mortality_cadaver!F:F)-1))</f>
        <v>#REF!</v>
      </c>
      <c r="Y19" t="e">
        <f ca="1">_xlfn.STDEV.S(OFFSET(mortality_cadaver!G:G,1,0,COUNTA(mortality_cadaver!G:G)-1))</f>
        <v>#REF!</v>
      </c>
      <c r="Z19" t="e">
        <f ca="1">_xlfn.STDEV.S(OFFSET(mortality_cadaver!H:H,1,0,COUNTA(mortality_cadaver!H:H)-1))</f>
        <v>#REF!</v>
      </c>
      <c r="AA19" t="e">
        <f ca="1">_xlfn.STDEV.S(OFFSET(mortality_cadaver!I:I,1,0,COUNTA(mortality_cadaver!I:I)-1))</f>
        <v>#REF!</v>
      </c>
      <c r="AB19" t="e">
        <f ca="1">_xlfn.STDEV.S(OFFSET(mortality_cadaver!J:J,1,0,COUNTA(mortality_cadaver!J:J)-1))</f>
        <v>#REF!</v>
      </c>
      <c r="AC19" t="e">
        <f ca="1">_xlfn.STDEV.S(OFFSET(mortality_cadaver!K:K,1,0,COUNTA(mortality_cadaver!K:K)-1))</f>
        <v>#REF!</v>
      </c>
      <c r="AD19" t="e">
        <f ca="1">_xlfn.STDEV.S(OFFSET(mortality_cadaver!L:L,1,0,COUNTA(mortality_cadaver!L:L)-1))</f>
        <v>#REF!</v>
      </c>
      <c r="AE19" t="e">
        <f ca="1">_xlfn.STDEV.S(OFFSET(mortality_cadaver!M:M,1,0,COUNTA(mortality_cadaver!M:M)-1))</f>
        <v>#REF!</v>
      </c>
      <c r="AF19" t="e">
        <f ca="1">_xlfn.STDEV.S(OFFSET(mortality_cadaver!N:N,1,0,COUNTA(mortality_cadaver!N:N)-1))</f>
        <v>#REF!</v>
      </c>
      <c r="AG19" t="e">
        <f ca="1">_xlfn.STDEV.S(OFFSET(mortality_cadaver!O:O,1,0,COUNTA(mortality_cadaver!O:O)-1))</f>
        <v>#REF!</v>
      </c>
      <c r="AI19" t="s">
        <v>29</v>
      </c>
      <c r="AJ19" t="s">
        <v>30</v>
      </c>
      <c r="AK19">
        <v>0</v>
      </c>
      <c r="AL19" t="e">
        <f ca="1">1.96*U19/SQRT(COUNT(incidence_cadaver!B:B)-1)</f>
        <v>#REF!</v>
      </c>
      <c r="AM19" t="e">
        <f ca="1">1.96*V19/SQRT(COUNT(incidence_cadaver!C:C)-1)</f>
        <v>#REF!</v>
      </c>
      <c r="AN19" t="e">
        <f ca="1">1.96*W19/SQRT(COUNT(incidence_cadaver!D:D)-1)</f>
        <v>#REF!</v>
      </c>
      <c r="AO19" t="e">
        <f ca="1">1.96*X19/SQRT(COUNT(incidence_cadaver!E:E)-1)</f>
        <v>#REF!</v>
      </c>
      <c r="AP19" t="e">
        <f ca="1">1.96*Y19/SQRT(COUNT(incidence_cadaver!F:F)-1)</f>
        <v>#REF!</v>
      </c>
      <c r="AQ19" t="e">
        <f ca="1">1.96*Z19/SQRT(COUNT(incidence_cadaver!G:G)-1)</f>
        <v>#REF!</v>
      </c>
      <c r="AR19" t="e">
        <f ca="1">1.96*AA19/SQRT(COUNT(incidence_cadaver!H:H)-1)</f>
        <v>#REF!</v>
      </c>
      <c r="AS19" t="e">
        <f ca="1">1.96*AB19/SQRT(COUNT(incidence_cadaver!I:I)-1)</f>
        <v>#REF!</v>
      </c>
      <c r="AT19" t="e">
        <f ca="1">1.96*AC19/SQRT(COUNT(incidence_cadaver!J:J)-1)</f>
        <v>#REF!</v>
      </c>
      <c r="AU19" t="e">
        <f ca="1">1.96*AD19/SQRT(COUNT(incidence_cadaver!K:K)-1)</f>
        <v>#REF!</v>
      </c>
      <c r="AV19" t="e">
        <f ca="1">1.96*AE19/SQRT(COUNT(incidence_cadaver!L:L)-1)</f>
        <v>#REF!</v>
      </c>
      <c r="AW19" t="e">
        <f ca="1">1.96*AF19/SQRT(COUNT(incidence_cadaver!M:M)-1)</f>
        <v>#REF!</v>
      </c>
      <c r="AX19" t="e">
        <f ca="1">1.96*AG19/SQRT(COUNT(incidence_cadaver!N:N)-1)</f>
        <v>#REF!</v>
      </c>
    </row>
    <row r="20" spans="1:50" x14ac:dyDescent="0.3">
      <c r="A20" t="s">
        <v>31</v>
      </c>
      <c r="B20" t="s">
        <v>30</v>
      </c>
      <c r="C20" t="e">
        <f ca="1">AVERAGE(OFFSET(mortality_live!B:B,1,0,COUNTA(mortality_live!B:B)-1))</f>
        <v>#REF!</v>
      </c>
      <c r="D20" t="e">
        <f ca="1">AVERAGE(OFFSET(mortality_live!C:C,1,0,COUNTA(mortality_live!C:C)-1))</f>
        <v>#REF!</v>
      </c>
      <c r="E20" t="e">
        <f ca="1">AVERAGE(OFFSET(mortality_live!D:D,1,0,COUNTA(mortality_live!D:D)-1))</f>
        <v>#REF!</v>
      </c>
      <c r="F20" t="e">
        <f ca="1">AVERAGE(OFFSET(mortality_live!E:E,1,0,COUNTA(mortality_live!E:E)-1))</f>
        <v>#REF!</v>
      </c>
      <c r="G20" t="e">
        <f ca="1">AVERAGE(OFFSET(mortality_live!F:F,1,0,COUNTA(mortality_live!F:F)-1))</f>
        <v>#REF!</v>
      </c>
      <c r="H20" t="e">
        <f ca="1">AVERAGE(OFFSET(mortality_live!G:G,1,0,COUNTA(mortality_live!G:G)-1))</f>
        <v>#REF!</v>
      </c>
      <c r="I20" t="e">
        <f ca="1">AVERAGE(OFFSET(mortality_live!H:H,1,0,COUNTA(mortality_live!H:H)-1))</f>
        <v>#REF!</v>
      </c>
      <c r="J20" t="e">
        <f ca="1">AVERAGE(OFFSET(mortality_live!I:I,1,0,COUNTA(mortality_live!I:I)-1))</f>
        <v>#REF!</v>
      </c>
      <c r="K20" t="e">
        <f ca="1">AVERAGE(OFFSET(mortality_live!J:J,1,0,COUNTA(mortality_live!J:J)-1))</f>
        <v>#REF!</v>
      </c>
      <c r="L20" t="e">
        <f ca="1">AVERAGE(OFFSET(mortality_live!K:K,1,0,COUNTA(mortality_live!K:K)-1))</f>
        <v>#REF!</v>
      </c>
      <c r="M20" t="e">
        <f ca="1">AVERAGE(OFFSET(mortality_live!L:L,1,0,COUNTA(mortality_live!L:L)-1))</f>
        <v>#REF!</v>
      </c>
      <c r="N20" t="e">
        <f ca="1">AVERAGE(OFFSET(mortality_live!M:M,1,0,COUNTA(mortality_live!M:M)-1))</f>
        <v>#REF!</v>
      </c>
      <c r="O20" t="e">
        <f ca="1">AVERAGE(OFFSET(mortality_live!N:N,1,0,COUNTA(mortality_live!N:N)-1))</f>
        <v>#REF!</v>
      </c>
      <c r="P20" t="e">
        <f ca="1">AVERAGE(OFFSET(mortality_live!O:O,1,0,COUNTA(mortality_live!O:O)-1))</f>
        <v>#REF!</v>
      </c>
      <c r="R20" t="s">
        <v>31</v>
      </c>
      <c r="S20" t="s">
        <v>30</v>
      </c>
      <c r="T20" t="e">
        <f ca="1">_xlfn.STDEV.S(OFFSET(mortality_live!B:B,1,0,COUNTA(mortality_live!B:B)-1))</f>
        <v>#REF!</v>
      </c>
      <c r="U20" t="e">
        <f ca="1">_xlfn.STDEV.S(OFFSET(mortality_live!C:C,1,0,COUNTA(mortality_live!C:C)-1))</f>
        <v>#REF!</v>
      </c>
      <c r="V20" t="e">
        <f ca="1">_xlfn.STDEV.S(OFFSET(mortality_live!D:D,1,0,COUNTA(mortality_live!D:D)-1))</f>
        <v>#REF!</v>
      </c>
      <c r="W20" t="e">
        <f ca="1">_xlfn.STDEV.S(OFFSET(mortality_live!E:E,1,0,COUNTA(mortality_live!E:E)-1))</f>
        <v>#REF!</v>
      </c>
      <c r="X20" t="e">
        <f ca="1">_xlfn.STDEV.S(OFFSET(mortality_live!F:F,1,0,COUNTA(mortality_live!F:F)-1))</f>
        <v>#REF!</v>
      </c>
      <c r="Y20" t="e">
        <f ca="1">_xlfn.STDEV.S(OFFSET(mortality_live!G:G,1,0,COUNTA(mortality_live!G:G)-1))</f>
        <v>#REF!</v>
      </c>
      <c r="Z20" t="e">
        <f ca="1">_xlfn.STDEV.S(OFFSET(mortality_live!H:H,1,0,COUNTA(mortality_live!H:H)-1))</f>
        <v>#REF!</v>
      </c>
      <c r="AA20" t="e">
        <f ca="1">_xlfn.STDEV.S(OFFSET(mortality_live!I:I,1,0,COUNTA(mortality_live!I:I)-1))</f>
        <v>#REF!</v>
      </c>
      <c r="AB20" t="e">
        <f ca="1">_xlfn.STDEV.S(OFFSET(mortality_live!J:J,1,0,COUNTA(mortality_live!J:J)-1))</f>
        <v>#REF!</v>
      </c>
      <c r="AC20" t="e">
        <f ca="1">_xlfn.STDEV.S(OFFSET(mortality_live!K:K,1,0,COUNTA(mortality_live!K:K)-1))</f>
        <v>#REF!</v>
      </c>
      <c r="AD20" t="e">
        <f ca="1">_xlfn.STDEV.S(OFFSET(mortality_live!L:L,1,0,COUNTA(mortality_live!L:L)-1))</f>
        <v>#REF!</v>
      </c>
      <c r="AE20" t="e">
        <f ca="1">_xlfn.STDEV.S(OFFSET(mortality_live!M:M,1,0,COUNTA(mortality_live!M:M)-1))</f>
        <v>#REF!</v>
      </c>
      <c r="AF20" t="e">
        <f ca="1">_xlfn.STDEV.S(OFFSET(mortality_live!N:N,1,0,COUNTA(mortality_live!N:N)-1))</f>
        <v>#REF!</v>
      </c>
      <c r="AG20" t="e">
        <f ca="1">_xlfn.STDEV.S(OFFSET(mortality_live!O:O,1,0,COUNTA(mortality_live!O:O)-1))</f>
        <v>#REF!</v>
      </c>
      <c r="AI20" t="s">
        <v>31</v>
      </c>
      <c r="AJ20" t="s">
        <v>30</v>
      </c>
      <c r="AK20">
        <v>0</v>
      </c>
      <c r="AL20" t="e">
        <f ca="1">1.96*U20/SQRT(COUNT(incidence_cadaver!B:B)-1)</f>
        <v>#REF!</v>
      </c>
      <c r="AM20" t="e">
        <f ca="1">1.96*V20/SQRT(COUNT(incidence_cadaver!C:C)-1)</f>
        <v>#REF!</v>
      </c>
      <c r="AN20" t="e">
        <f ca="1">1.96*W20/SQRT(COUNT(incidence_cadaver!D:D)-1)</f>
        <v>#REF!</v>
      </c>
      <c r="AO20" t="e">
        <f ca="1">1.96*X20/SQRT(COUNT(incidence_cadaver!E:E)-1)</f>
        <v>#REF!</v>
      </c>
      <c r="AP20" t="e">
        <f ca="1">1.96*Y20/SQRT(COUNT(incidence_cadaver!F:F)-1)</f>
        <v>#REF!</v>
      </c>
      <c r="AQ20" t="e">
        <f ca="1">1.96*Z20/SQRT(COUNT(incidence_cadaver!G:G)-1)</f>
        <v>#REF!</v>
      </c>
      <c r="AR20" t="e">
        <f ca="1">1.96*AA20/SQRT(COUNT(incidence_cadaver!H:H)-1)</f>
        <v>#REF!</v>
      </c>
      <c r="AS20" t="e">
        <f ca="1">1.96*AB20/SQRT(COUNT(incidence_cadaver!I:I)-1)</f>
        <v>#REF!</v>
      </c>
      <c r="AT20" t="e">
        <f ca="1">1.96*AC20/SQRT(COUNT(incidence_cadaver!J:J)-1)</f>
        <v>#REF!</v>
      </c>
      <c r="AU20" t="e">
        <f ca="1">1.96*AD20/SQRT(COUNT(incidence_cadaver!K:K)-1)</f>
        <v>#REF!</v>
      </c>
      <c r="AV20" t="e">
        <f ca="1">1.96*AE20/SQRT(COUNT(incidence_cadaver!L:L)-1)</f>
        <v>#REF!</v>
      </c>
      <c r="AW20" t="e">
        <f ca="1">1.96*AF20/SQRT(COUNT(incidence_cadaver!M:M)-1)</f>
        <v>#REF!</v>
      </c>
      <c r="AX20" t="e">
        <f ca="1">1.96*AG20/SQRT(COUNT(incidence_cadaver!N:N)-1)</f>
        <v>#REF!</v>
      </c>
    </row>
    <row r="21" spans="1:50" x14ac:dyDescent="0.3">
      <c r="A21" t="s">
        <v>10</v>
      </c>
      <c r="B21" t="s">
        <v>30</v>
      </c>
      <c r="C21" t="e">
        <f ca="1">AVERAGE(OFFSET(mortality_ichd!B:B,1,0,COUNTA(mortality_ichd!B:B)-1))</f>
        <v>#REF!</v>
      </c>
      <c r="D21" t="e">
        <f ca="1">AVERAGE(OFFSET(mortality_ichd!C:C,1,0,COUNTA(mortality_ichd!C:C)-1))</f>
        <v>#REF!</v>
      </c>
      <c r="E21" t="e">
        <f ca="1">AVERAGE(OFFSET(mortality_ichd!D:D,1,0,COUNTA(mortality_ichd!D:D)-1))</f>
        <v>#REF!</v>
      </c>
      <c r="F21" t="e">
        <f ca="1">AVERAGE(OFFSET(mortality_ichd!E:E,1,0,COUNTA(mortality_ichd!E:E)-1))</f>
        <v>#REF!</v>
      </c>
      <c r="G21" t="e">
        <f ca="1">AVERAGE(OFFSET(mortality_ichd!F:F,1,0,COUNTA(mortality_ichd!F:F)-1))</f>
        <v>#REF!</v>
      </c>
      <c r="H21" t="e">
        <f ca="1">AVERAGE(OFFSET(mortality_ichd!G:G,1,0,COUNTA(mortality_ichd!G:G)-1))</f>
        <v>#REF!</v>
      </c>
      <c r="I21" t="e">
        <f ca="1">AVERAGE(OFFSET(mortality_ichd!H:H,1,0,COUNTA(mortality_ichd!H:H)-1))</f>
        <v>#REF!</v>
      </c>
      <c r="J21" t="e">
        <f ca="1">AVERAGE(OFFSET(mortality_ichd!I:I,1,0,COUNTA(mortality_ichd!I:I)-1))</f>
        <v>#REF!</v>
      </c>
      <c r="K21" t="e">
        <f ca="1">AVERAGE(OFFSET(mortality_ichd!J:J,1,0,COUNTA(mortality_ichd!J:J)-1))</f>
        <v>#REF!</v>
      </c>
      <c r="L21" t="e">
        <f ca="1">AVERAGE(OFFSET(mortality_ichd!K:K,1,0,COUNTA(mortality_ichd!K:K)-1))</f>
        <v>#REF!</v>
      </c>
      <c r="M21" t="e">
        <f ca="1">AVERAGE(OFFSET(mortality_ichd!L:L,1,0,COUNTA(mortality_ichd!L:L)-1))</f>
        <v>#REF!</v>
      </c>
      <c r="N21" t="e">
        <f ca="1">AVERAGE(OFFSET(mortality_ichd!M:M,1,0,COUNTA(mortality_ichd!M:M)-1))</f>
        <v>#REF!</v>
      </c>
      <c r="O21" t="e">
        <f ca="1">AVERAGE(OFFSET(mortality_ichd!N:N,1,0,COUNTA(mortality_ichd!N:N)-1))</f>
        <v>#REF!</v>
      </c>
      <c r="P21" t="e">
        <f ca="1">AVERAGE(OFFSET(mortality_ichd!O:O,1,0,COUNTA(mortality_ichd!O:O)-1))</f>
        <v>#REF!</v>
      </c>
      <c r="R21" t="s">
        <v>10</v>
      </c>
      <c r="S21" t="s">
        <v>30</v>
      </c>
      <c r="T21" t="e">
        <f ca="1">_xlfn.STDEV.S(OFFSET(mortality_ichd!B:B,1,0,COUNTA(mortality_ichd!B:B)-1))</f>
        <v>#REF!</v>
      </c>
      <c r="U21" t="e">
        <f ca="1">_xlfn.STDEV.S(OFFSET(mortality_ichd!C:C,1,0,COUNTA(mortality_ichd!C:C)-1))</f>
        <v>#REF!</v>
      </c>
      <c r="V21" t="e">
        <f ca="1">_xlfn.STDEV.S(OFFSET(mortality_ichd!D:D,1,0,COUNTA(mortality_ichd!D:D)-1))</f>
        <v>#REF!</v>
      </c>
      <c r="W21" t="e">
        <f ca="1">_xlfn.STDEV.S(OFFSET(mortality_ichd!E:E,1,0,COUNTA(mortality_ichd!E:E)-1))</f>
        <v>#REF!</v>
      </c>
      <c r="X21" t="e">
        <f ca="1">_xlfn.STDEV.S(OFFSET(mortality_ichd!F:F,1,0,COUNTA(mortality_ichd!F:F)-1))</f>
        <v>#REF!</v>
      </c>
      <c r="Y21" t="e">
        <f ca="1">_xlfn.STDEV.S(OFFSET(mortality_ichd!G:G,1,0,COUNTA(mortality_ichd!G:G)-1))</f>
        <v>#REF!</v>
      </c>
      <c r="Z21" t="e">
        <f ca="1">_xlfn.STDEV.S(OFFSET(mortality_ichd!H:H,1,0,COUNTA(mortality_ichd!H:H)-1))</f>
        <v>#REF!</v>
      </c>
      <c r="AA21" t="e">
        <f ca="1">_xlfn.STDEV.S(OFFSET(mortality_ichd!I:I,1,0,COUNTA(mortality_ichd!I:I)-1))</f>
        <v>#REF!</v>
      </c>
      <c r="AB21" t="e">
        <f ca="1">_xlfn.STDEV.S(OFFSET(mortality_ichd!J:J,1,0,COUNTA(mortality_ichd!J:J)-1))</f>
        <v>#REF!</v>
      </c>
      <c r="AC21" t="e">
        <f ca="1">_xlfn.STDEV.S(OFFSET(mortality_ichd!K:K,1,0,COUNTA(mortality_ichd!K:K)-1))</f>
        <v>#REF!</v>
      </c>
      <c r="AD21" t="e">
        <f ca="1">_xlfn.STDEV.S(OFFSET(mortality_ichd!L:L,1,0,COUNTA(mortality_ichd!L:L)-1))</f>
        <v>#REF!</v>
      </c>
      <c r="AE21" t="e">
        <f ca="1">_xlfn.STDEV.S(OFFSET(mortality_ichd!M:M,1,0,COUNTA(mortality_ichd!M:M)-1))</f>
        <v>#REF!</v>
      </c>
      <c r="AF21" t="e">
        <f ca="1">_xlfn.STDEV.S(OFFSET(mortality_ichd!N:N,1,0,COUNTA(mortality_ichd!N:N)-1))</f>
        <v>#REF!</v>
      </c>
      <c r="AG21" t="e">
        <f ca="1">_xlfn.STDEV.S(OFFSET(mortality_ichd!O:O,1,0,COUNTA(mortality_ichd!O:O)-1))</f>
        <v>#REF!</v>
      </c>
      <c r="AI21" t="s">
        <v>10</v>
      </c>
      <c r="AJ21" t="s">
        <v>30</v>
      </c>
      <c r="AK21">
        <v>0</v>
      </c>
      <c r="AL21" t="e">
        <f ca="1">1.96*U21/SQRT(COUNT(incidence_cadaver!B:B)-1)</f>
        <v>#REF!</v>
      </c>
      <c r="AM21" t="e">
        <f ca="1">1.96*V21/SQRT(COUNT(incidence_cadaver!C:C)-1)</f>
        <v>#REF!</v>
      </c>
      <c r="AN21" t="e">
        <f ca="1">1.96*W21/SQRT(COUNT(incidence_cadaver!D:D)-1)</f>
        <v>#REF!</v>
      </c>
      <c r="AO21" t="e">
        <f ca="1">1.96*X21/SQRT(COUNT(incidence_cadaver!E:E)-1)</f>
        <v>#REF!</v>
      </c>
      <c r="AP21" t="e">
        <f ca="1">1.96*Y21/SQRT(COUNT(incidence_cadaver!F:F)-1)</f>
        <v>#REF!</v>
      </c>
      <c r="AQ21" t="e">
        <f ca="1">1.96*Z21/SQRT(COUNT(incidence_cadaver!G:G)-1)</f>
        <v>#REF!</v>
      </c>
      <c r="AR21" t="e">
        <f ca="1">1.96*AA21/SQRT(COUNT(incidence_cadaver!H:H)-1)</f>
        <v>#REF!</v>
      </c>
      <c r="AS21" t="e">
        <f ca="1">1.96*AB21/SQRT(COUNT(incidence_cadaver!I:I)-1)</f>
        <v>#REF!</v>
      </c>
      <c r="AT21" t="e">
        <f ca="1">1.96*AC21/SQRT(COUNT(incidence_cadaver!J:J)-1)</f>
        <v>#REF!</v>
      </c>
      <c r="AU21" t="e">
        <f ca="1">1.96*AD21/SQRT(COUNT(incidence_cadaver!K:K)-1)</f>
        <v>#REF!</v>
      </c>
      <c r="AV21" t="e">
        <f ca="1">1.96*AE21/SQRT(COUNT(incidence_cadaver!L:L)-1)</f>
        <v>#REF!</v>
      </c>
      <c r="AW21" t="e">
        <f ca="1">1.96*AF21/SQRT(COUNT(incidence_cadaver!M:M)-1)</f>
        <v>#REF!</v>
      </c>
      <c r="AX21" t="e">
        <f ca="1">1.96*AG21/SQRT(COUNT(incidence_cadaver!N:N)-1)</f>
        <v>#REF!</v>
      </c>
    </row>
    <row r="22" spans="1:50" x14ac:dyDescent="0.3">
      <c r="A22" t="s">
        <v>11</v>
      </c>
      <c r="B22" t="s">
        <v>30</v>
      </c>
      <c r="C22" t="e">
        <f ca="1">AVERAGE(OFFSET(mortality_hhd!B:B,1,0,COUNTA(mortality_hhd!B:B)-1))</f>
        <v>#REF!</v>
      </c>
      <c r="D22" t="e">
        <f ca="1">AVERAGE(OFFSET(mortality_hhd!C:C,1,0,COUNTA(mortality_hhd!C:C)-1))</f>
        <v>#REF!</v>
      </c>
      <c r="E22" t="e">
        <f ca="1">AVERAGE(OFFSET(mortality_hhd!D:D,1,0,COUNTA(mortality_hhd!D:D)-1))</f>
        <v>#REF!</v>
      </c>
      <c r="F22" t="e">
        <f ca="1">AVERAGE(OFFSET(mortality_hhd!E:E,1,0,COUNTA(mortality_hhd!E:E)-1))</f>
        <v>#REF!</v>
      </c>
      <c r="G22" t="e">
        <f ca="1">AVERAGE(OFFSET(mortality_hhd!F:F,1,0,COUNTA(mortality_hhd!F:F)-1))</f>
        <v>#REF!</v>
      </c>
      <c r="H22" t="e">
        <f ca="1">AVERAGE(OFFSET(mortality_hhd!G:G,1,0,COUNTA(mortality_hhd!G:G)-1))</f>
        <v>#REF!</v>
      </c>
      <c r="I22" t="e">
        <f ca="1">AVERAGE(OFFSET(mortality_hhd!H:H,1,0,COUNTA(mortality_hhd!H:H)-1))</f>
        <v>#REF!</v>
      </c>
      <c r="J22" t="e">
        <f ca="1">AVERAGE(OFFSET(mortality_hhd!I:I,1,0,COUNTA(mortality_hhd!I:I)-1))</f>
        <v>#REF!</v>
      </c>
      <c r="K22" t="e">
        <f ca="1">AVERAGE(OFFSET(mortality_hhd!J:J,1,0,COUNTA(mortality_hhd!J:J)-1))</f>
        <v>#REF!</v>
      </c>
      <c r="L22" t="e">
        <f ca="1">AVERAGE(OFFSET(mortality_hhd!K:K,1,0,COUNTA(mortality_hhd!K:K)-1))</f>
        <v>#REF!</v>
      </c>
      <c r="M22" t="e">
        <f ca="1">AVERAGE(OFFSET(mortality_hhd!L:L,1,0,COUNTA(mortality_hhd!L:L)-1))</f>
        <v>#REF!</v>
      </c>
      <c r="N22" t="e">
        <f ca="1">AVERAGE(OFFSET(mortality_hhd!M:M,1,0,COUNTA(mortality_hhd!M:M)-1))</f>
        <v>#REF!</v>
      </c>
      <c r="O22" t="e">
        <f ca="1">AVERAGE(OFFSET(mortality_hhd!N:N,1,0,COUNTA(mortality_hhd!N:N)-1))</f>
        <v>#REF!</v>
      </c>
      <c r="P22" t="e">
        <f ca="1">AVERAGE(OFFSET(mortality_hhd!O:O,1,0,COUNTA(mortality_hhd!O:O)-1))</f>
        <v>#REF!</v>
      </c>
      <c r="R22" t="s">
        <v>11</v>
      </c>
      <c r="S22" t="s">
        <v>30</v>
      </c>
      <c r="T22" t="e">
        <f ca="1">_xlfn.STDEV.S(OFFSET(mortality_hhd!B:B,1,0,COUNTA(mortality_hhd!B:B)-1))</f>
        <v>#REF!</v>
      </c>
      <c r="U22" t="e">
        <f ca="1">_xlfn.STDEV.S(OFFSET(mortality_hhd!C:C,1,0,COUNTA(mortality_hhd!C:C)-1))</f>
        <v>#REF!</v>
      </c>
      <c r="V22" t="e">
        <f ca="1">_xlfn.STDEV.S(OFFSET(mortality_hhd!D:D,1,0,COUNTA(mortality_hhd!D:D)-1))</f>
        <v>#REF!</v>
      </c>
      <c r="W22" t="e">
        <f ca="1">_xlfn.STDEV.S(OFFSET(mortality_hhd!E:E,1,0,COUNTA(mortality_hhd!E:E)-1))</f>
        <v>#REF!</v>
      </c>
      <c r="X22" t="e">
        <f ca="1">_xlfn.STDEV.S(OFFSET(mortality_hhd!F:F,1,0,COUNTA(mortality_hhd!F:F)-1))</f>
        <v>#REF!</v>
      </c>
      <c r="Y22" t="e">
        <f ca="1">_xlfn.STDEV.S(OFFSET(mortality_hhd!G:G,1,0,COUNTA(mortality_hhd!G:G)-1))</f>
        <v>#REF!</v>
      </c>
      <c r="Z22" t="e">
        <f ca="1">_xlfn.STDEV.S(OFFSET(mortality_hhd!H:H,1,0,COUNTA(mortality_hhd!H:H)-1))</f>
        <v>#REF!</v>
      </c>
      <c r="AA22" t="e">
        <f ca="1">_xlfn.STDEV.S(OFFSET(mortality_hhd!I:I,1,0,COUNTA(mortality_hhd!I:I)-1))</f>
        <v>#REF!</v>
      </c>
      <c r="AB22" t="e">
        <f ca="1">_xlfn.STDEV.S(OFFSET(mortality_hhd!J:J,1,0,COUNTA(mortality_hhd!J:J)-1))</f>
        <v>#REF!</v>
      </c>
      <c r="AC22" t="e">
        <f ca="1">_xlfn.STDEV.S(OFFSET(mortality_hhd!K:K,1,0,COUNTA(mortality_hhd!K:K)-1))</f>
        <v>#REF!</v>
      </c>
      <c r="AD22" t="e">
        <f ca="1">_xlfn.STDEV.S(OFFSET(mortality_hhd!L:L,1,0,COUNTA(mortality_hhd!L:L)-1))</f>
        <v>#REF!</v>
      </c>
      <c r="AE22" t="e">
        <f ca="1">_xlfn.STDEV.S(OFFSET(mortality_hhd!M:M,1,0,COUNTA(mortality_hhd!M:M)-1))</f>
        <v>#REF!</v>
      </c>
      <c r="AF22" t="e">
        <f ca="1">_xlfn.STDEV.S(OFFSET(mortality_hhd!N:N,1,0,COUNTA(mortality_hhd!N:N)-1))</f>
        <v>#REF!</v>
      </c>
      <c r="AG22" t="e">
        <f ca="1">_xlfn.STDEV.S(OFFSET(mortality_hhd!O:O,1,0,COUNTA(mortality_hhd!O:O)-1))</f>
        <v>#REF!</v>
      </c>
      <c r="AI22" t="s">
        <v>11</v>
      </c>
      <c r="AJ22" t="s">
        <v>30</v>
      </c>
      <c r="AK22">
        <v>0</v>
      </c>
      <c r="AL22" t="e">
        <f ca="1">1.96*U22/SQRT(COUNT(incidence_cadaver!B:B)-1)</f>
        <v>#REF!</v>
      </c>
      <c r="AM22" t="e">
        <f ca="1">1.96*V22/SQRT(COUNT(incidence_cadaver!C:C)-1)</f>
        <v>#REF!</v>
      </c>
      <c r="AN22" t="e">
        <f ca="1">1.96*W22/SQRT(COUNT(incidence_cadaver!D:D)-1)</f>
        <v>#REF!</v>
      </c>
      <c r="AO22" t="e">
        <f ca="1">1.96*X22/SQRT(COUNT(incidence_cadaver!E:E)-1)</f>
        <v>#REF!</v>
      </c>
      <c r="AP22" t="e">
        <f ca="1">1.96*Y22/SQRT(COUNT(incidence_cadaver!F:F)-1)</f>
        <v>#REF!</v>
      </c>
      <c r="AQ22" t="e">
        <f ca="1">1.96*Z22/SQRT(COUNT(incidence_cadaver!G:G)-1)</f>
        <v>#REF!</v>
      </c>
      <c r="AR22" t="e">
        <f ca="1">1.96*AA22/SQRT(COUNT(incidence_cadaver!H:H)-1)</f>
        <v>#REF!</v>
      </c>
      <c r="AS22" t="e">
        <f ca="1">1.96*AB22/SQRT(COUNT(incidence_cadaver!I:I)-1)</f>
        <v>#REF!</v>
      </c>
      <c r="AT22" t="e">
        <f ca="1">1.96*AC22/SQRT(COUNT(incidence_cadaver!J:J)-1)</f>
        <v>#REF!</v>
      </c>
      <c r="AU22" t="e">
        <f ca="1">1.96*AD22/SQRT(COUNT(incidence_cadaver!K:K)-1)</f>
        <v>#REF!</v>
      </c>
      <c r="AV22" t="e">
        <f ca="1">1.96*AE22/SQRT(COUNT(incidence_cadaver!L:L)-1)</f>
        <v>#REF!</v>
      </c>
      <c r="AW22" t="e">
        <f ca="1">1.96*AF22/SQRT(COUNT(incidence_cadaver!M:M)-1)</f>
        <v>#REF!</v>
      </c>
      <c r="AX22" t="e">
        <f ca="1">1.96*AG22/SQRT(COUNT(incidence_cadaver!N:N)-1)</f>
        <v>#REF!</v>
      </c>
    </row>
    <row r="23" spans="1:50" x14ac:dyDescent="0.3">
      <c r="A23" t="s">
        <v>12</v>
      </c>
      <c r="B23" t="s">
        <v>30</v>
      </c>
      <c r="C23" t="e">
        <f ca="1">AVERAGE(OFFSET(mortality_pd!B:B,1,0,COUNTA(mortality_pd!B:B)-1))</f>
        <v>#REF!</v>
      </c>
      <c r="D23" t="e">
        <f ca="1">AVERAGE(OFFSET(mortality_pd!C:C,1,0,COUNTA(mortality_pd!C:C)-1))</f>
        <v>#REF!</v>
      </c>
      <c r="E23" t="e">
        <f ca="1">AVERAGE(OFFSET(mortality_pd!D:D,1,0,COUNTA(mortality_pd!D:D)-1))</f>
        <v>#REF!</v>
      </c>
      <c r="F23" t="e">
        <f ca="1">AVERAGE(OFFSET(mortality_pd!E:E,1,0,COUNTA(mortality_pd!E:E)-1))</f>
        <v>#REF!</v>
      </c>
      <c r="G23" t="e">
        <f ca="1">AVERAGE(OFFSET(mortality_pd!F:F,1,0,COUNTA(mortality_pd!F:F)-1))</f>
        <v>#REF!</v>
      </c>
      <c r="H23" t="e">
        <f ca="1">AVERAGE(OFFSET(mortality_pd!G:G,1,0,COUNTA(mortality_pd!G:G)-1))</f>
        <v>#REF!</v>
      </c>
      <c r="I23" t="e">
        <f ca="1">AVERAGE(OFFSET(mortality_pd!H:H,1,0,COUNTA(mortality_pd!H:H)-1))</f>
        <v>#REF!</v>
      </c>
      <c r="J23" t="e">
        <f ca="1">AVERAGE(OFFSET(mortality_pd!I:I,1,0,COUNTA(mortality_pd!I:I)-1))</f>
        <v>#REF!</v>
      </c>
      <c r="K23" t="e">
        <f ca="1">AVERAGE(OFFSET(mortality_pd!J:J,1,0,COUNTA(mortality_pd!J:J)-1))</f>
        <v>#REF!</v>
      </c>
      <c r="L23" t="e">
        <f ca="1">AVERAGE(OFFSET(mortality_pd!K:K,1,0,COUNTA(mortality_pd!K:K)-1))</f>
        <v>#REF!</v>
      </c>
      <c r="M23" t="e">
        <f ca="1">AVERAGE(OFFSET(mortality_pd!L:L,1,0,COUNTA(mortality_pd!L:L)-1))</f>
        <v>#REF!</v>
      </c>
      <c r="N23" t="e">
        <f ca="1">AVERAGE(OFFSET(mortality_pd!M:M,1,0,COUNTA(mortality_pd!M:M)-1))</f>
        <v>#REF!</v>
      </c>
      <c r="O23" t="e">
        <f ca="1">AVERAGE(OFFSET(mortality_pd!N:N,1,0,COUNTA(mortality_pd!N:N)-1))</f>
        <v>#REF!</v>
      </c>
      <c r="P23" t="e">
        <f ca="1">AVERAGE(OFFSET(mortality_pd!O:O,1,0,COUNTA(mortality_pd!O:O)-1))</f>
        <v>#REF!</v>
      </c>
      <c r="R23" t="s">
        <v>12</v>
      </c>
      <c r="S23" t="s">
        <v>30</v>
      </c>
      <c r="T23" t="e">
        <f ca="1">_xlfn.STDEV.S(OFFSET(mortality_pd!B:B,1,0,COUNTA(mortality_pd!B:B)-1))</f>
        <v>#REF!</v>
      </c>
      <c r="U23" t="e">
        <f ca="1">_xlfn.STDEV.S(OFFSET(mortality_pd!C:C,1,0,COUNTA(mortality_pd!C:C)-1))</f>
        <v>#REF!</v>
      </c>
      <c r="V23" t="e">
        <f ca="1">_xlfn.STDEV.S(OFFSET(mortality_pd!D:D,1,0,COUNTA(mortality_pd!D:D)-1))</f>
        <v>#REF!</v>
      </c>
      <c r="W23" t="e">
        <f ca="1">_xlfn.STDEV.S(OFFSET(mortality_pd!E:E,1,0,COUNTA(mortality_pd!E:E)-1))</f>
        <v>#REF!</v>
      </c>
      <c r="X23" t="e">
        <f ca="1">_xlfn.STDEV.S(OFFSET(mortality_pd!F:F,1,0,COUNTA(mortality_pd!F:F)-1))</f>
        <v>#REF!</v>
      </c>
      <c r="Y23" t="e">
        <f ca="1">_xlfn.STDEV.S(OFFSET(mortality_pd!G:G,1,0,COUNTA(mortality_pd!G:G)-1))</f>
        <v>#REF!</v>
      </c>
      <c r="Z23" t="e">
        <f ca="1">_xlfn.STDEV.S(OFFSET(mortality_pd!H:H,1,0,COUNTA(mortality_pd!H:H)-1))</f>
        <v>#REF!</v>
      </c>
      <c r="AA23" t="e">
        <f ca="1">_xlfn.STDEV.S(OFFSET(mortality_pd!I:I,1,0,COUNTA(mortality_pd!I:I)-1))</f>
        <v>#REF!</v>
      </c>
      <c r="AB23" t="e">
        <f ca="1">_xlfn.STDEV.S(OFFSET(mortality_pd!J:J,1,0,COUNTA(mortality_pd!J:J)-1))</f>
        <v>#REF!</v>
      </c>
      <c r="AC23" t="e">
        <f ca="1">_xlfn.STDEV.S(OFFSET(mortality_pd!K:K,1,0,COUNTA(mortality_pd!K:K)-1))</f>
        <v>#REF!</v>
      </c>
      <c r="AD23" t="e">
        <f ca="1">_xlfn.STDEV.S(OFFSET(mortality_pd!L:L,1,0,COUNTA(mortality_pd!L:L)-1))</f>
        <v>#REF!</v>
      </c>
      <c r="AE23" t="e">
        <f ca="1">_xlfn.STDEV.S(OFFSET(mortality_pd!M:M,1,0,COUNTA(mortality_pd!M:M)-1))</f>
        <v>#REF!</v>
      </c>
      <c r="AF23" t="e">
        <f ca="1">_xlfn.STDEV.S(OFFSET(mortality_pd!N:N,1,0,COUNTA(mortality_pd!N:N)-1))</f>
        <v>#REF!</v>
      </c>
      <c r="AG23" t="e">
        <f ca="1">_xlfn.STDEV.S(OFFSET(mortality_pd!O:O,1,0,COUNTA(mortality_pd!O:O)-1))</f>
        <v>#REF!</v>
      </c>
      <c r="AI23" t="s">
        <v>12</v>
      </c>
      <c r="AJ23" t="s">
        <v>30</v>
      </c>
      <c r="AK23">
        <v>0</v>
      </c>
      <c r="AL23" t="e">
        <f ca="1">1.96*U23/SQRT(COUNT(incidence_cadaver!B:B)-1)</f>
        <v>#REF!</v>
      </c>
      <c r="AM23" t="e">
        <f ca="1">1.96*V23/SQRT(COUNT(incidence_cadaver!C:C)-1)</f>
        <v>#REF!</v>
      </c>
      <c r="AN23" t="e">
        <f ca="1">1.96*W23/SQRT(COUNT(incidence_cadaver!D:D)-1)</f>
        <v>#REF!</v>
      </c>
      <c r="AO23" t="e">
        <f ca="1">1.96*X23/SQRT(COUNT(incidence_cadaver!E:E)-1)</f>
        <v>#REF!</v>
      </c>
      <c r="AP23" t="e">
        <f ca="1">1.96*Y23/SQRT(COUNT(incidence_cadaver!F:F)-1)</f>
        <v>#REF!</v>
      </c>
      <c r="AQ23" t="e">
        <f ca="1">1.96*Z23/SQRT(COUNT(incidence_cadaver!G:G)-1)</f>
        <v>#REF!</v>
      </c>
      <c r="AR23" t="e">
        <f ca="1">1.96*AA23/SQRT(COUNT(incidence_cadaver!H:H)-1)</f>
        <v>#REF!</v>
      </c>
      <c r="AS23" t="e">
        <f ca="1">1.96*AB23/SQRT(COUNT(incidence_cadaver!I:I)-1)</f>
        <v>#REF!</v>
      </c>
      <c r="AT23" t="e">
        <f ca="1">1.96*AC23/SQRT(COUNT(incidence_cadaver!J:J)-1)</f>
        <v>#REF!</v>
      </c>
      <c r="AU23" t="e">
        <f ca="1">1.96*AD23/SQRT(COUNT(incidence_cadaver!K:K)-1)</f>
        <v>#REF!</v>
      </c>
      <c r="AV23" t="e">
        <f ca="1">1.96*AE23/SQRT(COUNT(incidence_cadaver!L:L)-1)</f>
        <v>#REF!</v>
      </c>
      <c r="AW23" t="e">
        <f ca="1">1.96*AF23/SQRT(COUNT(incidence_cadaver!M:M)-1)</f>
        <v>#REF!</v>
      </c>
      <c r="AX23" t="e">
        <f ca="1">1.96*AG23/SQRT(COUNT(incidence_cadaver!N:N)-1)</f>
        <v>#REF!</v>
      </c>
    </row>
    <row r="25" spans="1:50" x14ac:dyDescent="0.3">
      <c r="A25" s="23" t="s">
        <v>28</v>
      </c>
      <c r="B25" s="27" t="s">
        <v>38</v>
      </c>
    </row>
    <row r="26" spans="1:50" x14ac:dyDescent="0.3">
      <c r="A26" t="s">
        <v>33</v>
      </c>
      <c r="B26" t="s">
        <v>40</v>
      </c>
    </row>
    <row r="27" spans="1:50" x14ac:dyDescent="0.3">
      <c r="A27" t="s">
        <v>29</v>
      </c>
      <c r="B27" t="s">
        <v>40</v>
      </c>
      <c r="C27" t="e">
        <f ca="1">C3-AK3</f>
        <v>#REF!</v>
      </c>
      <c r="D27" t="e">
        <f t="shared" ref="D27:P27" ca="1" si="26">D3-AL3</f>
        <v>#REF!</v>
      </c>
      <c r="E27" t="e">
        <f t="shared" ca="1" si="26"/>
        <v>#REF!</v>
      </c>
      <c r="F27" t="e">
        <f t="shared" ca="1" si="26"/>
        <v>#REF!</v>
      </c>
      <c r="G27" t="e">
        <f t="shared" ca="1" si="26"/>
        <v>#REF!</v>
      </c>
      <c r="H27" t="e">
        <f t="shared" ca="1" si="26"/>
        <v>#REF!</v>
      </c>
      <c r="I27" t="e">
        <f t="shared" ca="1" si="26"/>
        <v>#REF!</v>
      </c>
      <c r="J27" t="e">
        <f t="shared" ca="1" si="26"/>
        <v>#REF!</v>
      </c>
      <c r="K27" t="e">
        <f t="shared" ca="1" si="26"/>
        <v>#REF!</v>
      </c>
      <c r="L27" t="e">
        <f t="shared" ca="1" si="26"/>
        <v>#REF!</v>
      </c>
      <c r="M27" t="e">
        <f t="shared" ca="1" si="26"/>
        <v>#REF!</v>
      </c>
      <c r="N27" t="e">
        <f t="shared" ca="1" si="26"/>
        <v>#REF!</v>
      </c>
      <c r="O27" t="e">
        <f t="shared" ca="1" si="26"/>
        <v>#REF!</v>
      </c>
      <c r="P27" t="e">
        <f t="shared" ca="1" si="26"/>
        <v>#REF!</v>
      </c>
      <c r="R27" t="s">
        <v>62</v>
      </c>
      <c r="S27">
        <f>COUNTA(prevalence_cadaver!B:B)-1</f>
        <v>0</v>
      </c>
    </row>
    <row r="28" spans="1:50" x14ac:dyDescent="0.3">
      <c r="A28" t="s">
        <v>31</v>
      </c>
      <c r="B28" t="s">
        <v>40</v>
      </c>
      <c r="C28" t="e">
        <f t="shared" ref="C28:C31" ca="1" si="27">C4-AK4</f>
        <v>#REF!</v>
      </c>
      <c r="D28" t="e">
        <f t="shared" ref="D28:D31" ca="1" si="28">D4-AL4</f>
        <v>#REF!</v>
      </c>
      <c r="E28" t="e">
        <f t="shared" ref="E28:E31" ca="1" si="29">E4-AM4</f>
        <v>#REF!</v>
      </c>
      <c r="F28" t="e">
        <f t="shared" ref="F28:F31" ca="1" si="30">F4-AN4</f>
        <v>#REF!</v>
      </c>
      <c r="G28" t="e">
        <f t="shared" ref="G28:G31" ca="1" si="31">G4-AO4</f>
        <v>#REF!</v>
      </c>
      <c r="H28" t="e">
        <f t="shared" ref="H28:H31" ca="1" si="32">H4-AP4</f>
        <v>#REF!</v>
      </c>
      <c r="I28" t="e">
        <f t="shared" ref="I28:I31" ca="1" si="33">I4-AQ4</f>
        <v>#REF!</v>
      </c>
      <c r="J28" t="e">
        <f t="shared" ref="J28:J31" ca="1" si="34">J4-AR4</f>
        <v>#REF!</v>
      </c>
      <c r="K28" t="e">
        <f t="shared" ref="K28:K31" ca="1" si="35">K4-AS4</f>
        <v>#REF!</v>
      </c>
      <c r="L28" t="e">
        <f t="shared" ref="L28:L31" ca="1" si="36">L4-AT4</f>
        <v>#REF!</v>
      </c>
      <c r="M28" t="e">
        <f t="shared" ref="M28:M31" ca="1" si="37">M4-AU4</f>
        <v>#REF!</v>
      </c>
      <c r="N28" t="e">
        <f t="shared" ref="N28:N31" ca="1" si="38">N4-AV4</f>
        <v>#REF!</v>
      </c>
      <c r="O28" t="e">
        <f t="shared" ref="O28:O31" ca="1" si="39">O4-AW4</f>
        <v>#REF!</v>
      </c>
      <c r="P28" t="e">
        <f t="shared" ref="P28:P31" ca="1" si="40">P4-AX4</f>
        <v>#REF!</v>
      </c>
    </row>
    <row r="29" spans="1:50" x14ac:dyDescent="0.3">
      <c r="A29" t="s">
        <v>10</v>
      </c>
      <c r="B29" t="s">
        <v>40</v>
      </c>
      <c r="C29" t="e">
        <f t="shared" ca="1" si="27"/>
        <v>#REF!</v>
      </c>
      <c r="D29" t="e">
        <f t="shared" ca="1" si="28"/>
        <v>#REF!</v>
      </c>
      <c r="E29" t="e">
        <f t="shared" ca="1" si="29"/>
        <v>#REF!</v>
      </c>
      <c r="F29" t="e">
        <f t="shared" ca="1" si="30"/>
        <v>#REF!</v>
      </c>
      <c r="G29" t="e">
        <f t="shared" ca="1" si="31"/>
        <v>#REF!</v>
      </c>
      <c r="H29" t="e">
        <f t="shared" ca="1" si="32"/>
        <v>#REF!</v>
      </c>
      <c r="I29" t="e">
        <f t="shared" ca="1" si="33"/>
        <v>#REF!</v>
      </c>
      <c r="J29" t="e">
        <f t="shared" ca="1" si="34"/>
        <v>#REF!</v>
      </c>
      <c r="K29" t="e">
        <f t="shared" ca="1" si="35"/>
        <v>#REF!</v>
      </c>
      <c r="L29" t="e">
        <f t="shared" ca="1" si="36"/>
        <v>#REF!</v>
      </c>
      <c r="M29" t="e">
        <f t="shared" ca="1" si="37"/>
        <v>#REF!</v>
      </c>
      <c r="N29" t="e">
        <f t="shared" ca="1" si="38"/>
        <v>#REF!</v>
      </c>
      <c r="O29" t="e">
        <f t="shared" ca="1" si="39"/>
        <v>#REF!</v>
      </c>
      <c r="P29" t="e">
        <f t="shared" ca="1" si="40"/>
        <v>#REF!</v>
      </c>
    </row>
    <row r="30" spans="1:50" x14ac:dyDescent="0.3">
      <c r="A30" t="s">
        <v>11</v>
      </c>
      <c r="B30" t="s">
        <v>40</v>
      </c>
      <c r="C30" t="e">
        <f t="shared" ca="1" si="27"/>
        <v>#REF!</v>
      </c>
      <c r="D30" t="e">
        <f t="shared" ca="1" si="28"/>
        <v>#REF!</v>
      </c>
      <c r="E30" t="e">
        <f t="shared" ca="1" si="29"/>
        <v>#REF!</v>
      </c>
      <c r="F30" t="e">
        <f t="shared" ca="1" si="30"/>
        <v>#REF!</v>
      </c>
      <c r="G30" t="e">
        <f t="shared" ca="1" si="31"/>
        <v>#REF!</v>
      </c>
      <c r="H30" t="e">
        <f t="shared" ca="1" si="32"/>
        <v>#REF!</v>
      </c>
      <c r="I30" t="e">
        <f t="shared" ca="1" si="33"/>
        <v>#REF!</v>
      </c>
      <c r="J30" t="e">
        <f t="shared" ca="1" si="34"/>
        <v>#REF!</v>
      </c>
      <c r="K30" t="e">
        <f t="shared" ca="1" si="35"/>
        <v>#REF!</v>
      </c>
      <c r="L30" t="e">
        <f t="shared" ca="1" si="36"/>
        <v>#REF!</v>
      </c>
      <c r="M30" t="e">
        <f t="shared" ca="1" si="37"/>
        <v>#REF!</v>
      </c>
      <c r="N30" t="e">
        <f t="shared" ca="1" si="38"/>
        <v>#REF!</v>
      </c>
      <c r="O30" t="e">
        <f t="shared" ca="1" si="39"/>
        <v>#REF!</v>
      </c>
      <c r="P30" t="e">
        <f t="shared" ca="1" si="40"/>
        <v>#REF!</v>
      </c>
    </row>
    <row r="31" spans="1:50" x14ac:dyDescent="0.3">
      <c r="A31" t="s">
        <v>12</v>
      </c>
      <c r="B31" t="s">
        <v>40</v>
      </c>
      <c r="C31" t="e">
        <f t="shared" ca="1" si="27"/>
        <v>#REF!</v>
      </c>
      <c r="D31" t="e">
        <f t="shared" ca="1" si="28"/>
        <v>#REF!</v>
      </c>
      <c r="E31" t="e">
        <f t="shared" ca="1" si="29"/>
        <v>#REF!</v>
      </c>
      <c r="F31" t="e">
        <f t="shared" ca="1" si="30"/>
        <v>#REF!</v>
      </c>
      <c r="G31" t="e">
        <f t="shared" ca="1" si="31"/>
        <v>#REF!</v>
      </c>
      <c r="H31" t="e">
        <f t="shared" ca="1" si="32"/>
        <v>#REF!</v>
      </c>
      <c r="I31" t="e">
        <f t="shared" ca="1" si="33"/>
        <v>#REF!</v>
      </c>
      <c r="J31" t="e">
        <f t="shared" ca="1" si="34"/>
        <v>#REF!</v>
      </c>
      <c r="K31" t="e">
        <f t="shared" ca="1" si="35"/>
        <v>#REF!</v>
      </c>
      <c r="L31" t="e">
        <f t="shared" ca="1" si="36"/>
        <v>#REF!</v>
      </c>
      <c r="M31" t="e">
        <f t="shared" ca="1" si="37"/>
        <v>#REF!</v>
      </c>
      <c r="N31" t="e">
        <f t="shared" ca="1" si="38"/>
        <v>#REF!</v>
      </c>
      <c r="O31" t="e">
        <f t="shared" ca="1" si="39"/>
        <v>#REF!</v>
      </c>
      <c r="P31" t="e">
        <f t="shared" ca="1" si="40"/>
        <v>#REF!</v>
      </c>
    </row>
    <row r="33" spans="1:16" x14ac:dyDescent="0.3">
      <c r="A33" s="23" t="s">
        <v>32</v>
      </c>
    </row>
    <row r="34" spans="1:16" x14ac:dyDescent="0.3">
      <c r="A34" t="s">
        <v>33</v>
      </c>
      <c r="B34" t="s">
        <v>40</v>
      </c>
      <c r="C34" t="e">
        <f ca="1">C10-AK10</f>
        <v>#REF!</v>
      </c>
      <c r="D34" t="e">
        <f t="shared" ref="D34:D38" ca="1" si="41">D10-AL10</f>
        <v>#REF!</v>
      </c>
      <c r="E34" t="e">
        <f t="shared" ref="E34:E38" ca="1" si="42">E10-AM10</f>
        <v>#REF!</v>
      </c>
      <c r="F34" t="e">
        <f t="shared" ref="F34:F38" ca="1" si="43">F10-AN10</f>
        <v>#REF!</v>
      </c>
      <c r="G34" t="e">
        <f t="shared" ref="G34:G38" ca="1" si="44">G10-AO10</f>
        <v>#REF!</v>
      </c>
      <c r="H34" t="e">
        <f t="shared" ref="H34:H38" ca="1" si="45">H10-AP10</f>
        <v>#REF!</v>
      </c>
      <c r="I34" t="e">
        <f t="shared" ref="I34:I38" ca="1" si="46">I10-AQ10</f>
        <v>#REF!</v>
      </c>
      <c r="J34" t="e">
        <f t="shared" ref="J34:J38" ca="1" si="47">J10-AR10</f>
        <v>#REF!</v>
      </c>
      <c r="K34" t="e">
        <f t="shared" ref="K34:K38" ca="1" si="48">K10-AS10</f>
        <v>#REF!</v>
      </c>
      <c r="L34" t="e">
        <f t="shared" ref="L34:L38" ca="1" si="49">L10-AT10</f>
        <v>#REF!</v>
      </c>
      <c r="M34" t="e">
        <f t="shared" ref="M34:M38" ca="1" si="50">M10-AU10</f>
        <v>#REF!</v>
      </c>
      <c r="N34" t="e">
        <f t="shared" ref="N34:N38" ca="1" si="51">N10-AV10</f>
        <v>#REF!</v>
      </c>
      <c r="O34" t="e">
        <f t="shared" ref="O34:O38" ca="1" si="52">O10-AW10</f>
        <v>#REF!</v>
      </c>
      <c r="P34" t="e">
        <f t="shared" ref="P34:P38" ca="1" si="53">P10-AX10</f>
        <v>#REF!</v>
      </c>
    </row>
    <row r="35" spans="1:16" x14ac:dyDescent="0.3">
      <c r="A35" t="s">
        <v>29</v>
      </c>
      <c r="B35" t="s">
        <v>40</v>
      </c>
      <c r="C35" t="e">
        <f t="shared" ref="C35:C38" ca="1" si="54">C11-AK11</f>
        <v>#REF!</v>
      </c>
      <c r="D35" t="e">
        <f t="shared" ca="1" si="41"/>
        <v>#REF!</v>
      </c>
      <c r="E35" t="e">
        <f t="shared" ca="1" si="42"/>
        <v>#REF!</v>
      </c>
      <c r="F35" t="e">
        <f t="shared" ca="1" si="43"/>
        <v>#REF!</v>
      </c>
      <c r="G35" t="e">
        <f t="shared" ca="1" si="44"/>
        <v>#REF!</v>
      </c>
      <c r="H35" t="e">
        <f t="shared" ca="1" si="45"/>
        <v>#REF!</v>
      </c>
      <c r="I35" t="e">
        <f t="shared" ca="1" si="46"/>
        <v>#REF!</v>
      </c>
      <c r="J35" t="e">
        <f t="shared" ca="1" si="47"/>
        <v>#REF!</v>
      </c>
      <c r="K35" t="e">
        <f t="shared" ca="1" si="48"/>
        <v>#REF!</v>
      </c>
      <c r="L35" t="e">
        <f t="shared" ca="1" si="49"/>
        <v>#REF!</v>
      </c>
      <c r="M35" t="e">
        <f t="shared" ca="1" si="50"/>
        <v>#REF!</v>
      </c>
      <c r="N35" t="e">
        <f t="shared" ca="1" si="51"/>
        <v>#REF!</v>
      </c>
      <c r="O35" t="e">
        <f t="shared" ca="1" si="52"/>
        <v>#REF!</v>
      </c>
      <c r="P35" t="e">
        <f t="shared" ca="1" si="53"/>
        <v>#REF!</v>
      </c>
    </row>
    <row r="36" spans="1:16" x14ac:dyDescent="0.3">
      <c r="A36" t="s">
        <v>31</v>
      </c>
      <c r="B36" t="s">
        <v>40</v>
      </c>
      <c r="C36" t="e">
        <f t="shared" ca="1" si="54"/>
        <v>#REF!</v>
      </c>
      <c r="D36" t="e">
        <f t="shared" ca="1" si="41"/>
        <v>#REF!</v>
      </c>
      <c r="E36" t="e">
        <f t="shared" ca="1" si="42"/>
        <v>#REF!</v>
      </c>
      <c r="F36" t="e">
        <f t="shared" ca="1" si="43"/>
        <v>#REF!</v>
      </c>
      <c r="G36" t="e">
        <f t="shared" ca="1" si="44"/>
        <v>#REF!</v>
      </c>
      <c r="H36" t="e">
        <f t="shared" ca="1" si="45"/>
        <v>#REF!</v>
      </c>
      <c r="I36" t="e">
        <f t="shared" ca="1" si="46"/>
        <v>#REF!</v>
      </c>
      <c r="J36" t="e">
        <f t="shared" ca="1" si="47"/>
        <v>#REF!</v>
      </c>
      <c r="K36" t="e">
        <f t="shared" ca="1" si="48"/>
        <v>#REF!</v>
      </c>
      <c r="L36" t="e">
        <f t="shared" ca="1" si="49"/>
        <v>#REF!</v>
      </c>
      <c r="M36" t="e">
        <f t="shared" ca="1" si="50"/>
        <v>#REF!</v>
      </c>
      <c r="N36" t="e">
        <f t="shared" ca="1" si="51"/>
        <v>#REF!</v>
      </c>
      <c r="O36" t="e">
        <f t="shared" ca="1" si="52"/>
        <v>#REF!</v>
      </c>
      <c r="P36" t="e">
        <f t="shared" ca="1" si="53"/>
        <v>#REF!</v>
      </c>
    </row>
    <row r="37" spans="1:16" x14ac:dyDescent="0.3">
      <c r="A37" t="s">
        <v>10</v>
      </c>
      <c r="B37" t="s">
        <v>40</v>
      </c>
      <c r="C37" t="e">
        <f t="shared" ca="1" si="54"/>
        <v>#REF!</v>
      </c>
      <c r="D37" t="e">
        <f t="shared" ca="1" si="41"/>
        <v>#REF!</v>
      </c>
      <c r="E37" t="e">
        <f t="shared" ca="1" si="42"/>
        <v>#REF!</v>
      </c>
      <c r="F37" t="e">
        <f t="shared" ca="1" si="43"/>
        <v>#REF!</v>
      </c>
      <c r="G37" t="e">
        <f t="shared" ca="1" si="44"/>
        <v>#REF!</v>
      </c>
      <c r="H37" t="e">
        <f t="shared" ca="1" si="45"/>
        <v>#REF!</v>
      </c>
      <c r="I37" t="e">
        <f t="shared" ca="1" si="46"/>
        <v>#REF!</v>
      </c>
      <c r="J37" t="e">
        <f t="shared" ca="1" si="47"/>
        <v>#REF!</v>
      </c>
      <c r="K37" t="e">
        <f t="shared" ca="1" si="48"/>
        <v>#REF!</v>
      </c>
      <c r="L37" t="e">
        <f t="shared" ca="1" si="49"/>
        <v>#REF!</v>
      </c>
      <c r="M37" t="e">
        <f t="shared" ca="1" si="50"/>
        <v>#REF!</v>
      </c>
      <c r="N37" t="e">
        <f t="shared" ca="1" si="51"/>
        <v>#REF!</v>
      </c>
      <c r="O37" t="e">
        <f t="shared" ca="1" si="52"/>
        <v>#REF!</v>
      </c>
      <c r="P37" t="e">
        <f t="shared" ca="1" si="53"/>
        <v>#REF!</v>
      </c>
    </row>
    <row r="38" spans="1:16" x14ac:dyDescent="0.3">
      <c r="A38" t="s">
        <v>11</v>
      </c>
      <c r="B38" t="s">
        <v>40</v>
      </c>
      <c r="C38" t="e">
        <f t="shared" ca="1" si="54"/>
        <v>#REF!</v>
      </c>
      <c r="D38" t="e">
        <f t="shared" ca="1" si="41"/>
        <v>#REF!</v>
      </c>
      <c r="E38" t="e">
        <f t="shared" ca="1" si="42"/>
        <v>#REF!</v>
      </c>
      <c r="F38" t="e">
        <f t="shared" ca="1" si="43"/>
        <v>#REF!</v>
      </c>
      <c r="G38" t="e">
        <f t="shared" ca="1" si="44"/>
        <v>#REF!</v>
      </c>
      <c r="H38" t="e">
        <f t="shared" ca="1" si="45"/>
        <v>#REF!</v>
      </c>
      <c r="I38" t="e">
        <f t="shared" ca="1" si="46"/>
        <v>#REF!</v>
      </c>
      <c r="J38" t="e">
        <f t="shared" ca="1" si="47"/>
        <v>#REF!</v>
      </c>
      <c r="K38" t="e">
        <f t="shared" ca="1" si="48"/>
        <v>#REF!</v>
      </c>
      <c r="L38" t="e">
        <f t="shared" ca="1" si="49"/>
        <v>#REF!</v>
      </c>
      <c r="M38" t="e">
        <f t="shared" ca="1" si="50"/>
        <v>#REF!</v>
      </c>
      <c r="N38" t="e">
        <f t="shared" ca="1" si="51"/>
        <v>#REF!</v>
      </c>
      <c r="O38" t="e">
        <f t="shared" ca="1" si="52"/>
        <v>#REF!</v>
      </c>
      <c r="P38" t="e">
        <f t="shared" ca="1" si="53"/>
        <v>#REF!</v>
      </c>
    </row>
    <row r="39" spans="1:16" x14ac:dyDescent="0.3">
      <c r="A39" t="s">
        <v>12</v>
      </c>
      <c r="B39" t="s">
        <v>40</v>
      </c>
      <c r="C39" t="e">
        <f t="shared" ref="C39" ca="1" si="55">C15-AK15</f>
        <v>#REF!</v>
      </c>
      <c r="D39" t="e">
        <f t="shared" ref="D39" ca="1" si="56">D15-AL15</f>
        <v>#REF!</v>
      </c>
      <c r="E39" t="e">
        <f t="shared" ref="E39" ca="1" si="57">E15-AM15</f>
        <v>#REF!</v>
      </c>
      <c r="F39" t="e">
        <f t="shared" ref="F39" ca="1" si="58">F15-AN15</f>
        <v>#REF!</v>
      </c>
      <c r="G39" t="e">
        <f t="shared" ref="G39" ca="1" si="59">G15-AO15</f>
        <v>#REF!</v>
      </c>
      <c r="H39" t="e">
        <f t="shared" ref="H39" ca="1" si="60">H15-AP15</f>
        <v>#REF!</v>
      </c>
      <c r="I39" t="e">
        <f t="shared" ref="I39" ca="1" si="61">I15-AQ15</f>
        <v>#REF!</v>
      </c>
      <c r="J39" t="e">
        <f t="shared" ref="J39" ca="1" si="62">J15-AR15</f>
        <v>#REF!</v>
      </c>
      <c r="K39" t="e">
        <f t="shared" ref="K39" ca="1" si="63">K15-AS15</f>
        <v>#REF!</v>
      </c>
      <c r="L39" t="e">
        <f t="shared" ref="L39" ca="1" si="64">L15-AT15</f>
        <v>#REF!</v>
      </c>
      <c r="M39" t="e">
        <f t="shared" ref="M39" ca="1" si="65">M15-AU15</f>
        <v>#REF!</v>
      </c>
      <c r="N39" t="e">
        <f t="shared" ref="N39" ca="1" si="66">N15-AV15</f>
        <v>#REF!</v>
      </c>
      <c r="O39" t="e">
        <f t="shared" ref="O39" ca="1" si="67">O15-AW15</f>
        <v>#REF!</v>
      </c>
      <c r="P39" t="e">
        <f t="shared" ref="P39" ca="1" si="68">P15-AX15</f>
        <v>#REF!</v>
      </c>
    </row>
    <row r="41" spans="1:16" x14ac:dyDescent="0.3">
      <c r="A41" s="23" t="s">
        <v>24</v>
      </c>
    </row>
    <row r="42" spans="1:16" x14ac:dyDescent="0.3">
      <c r="A42" t="s">
        <v>33</v>
      </c>
      <c r="B42" t="s">
        <v>40</v>
      </c>
      <c r="C42" t="e">
        <f ca="1">C18-AK18</f>
        <v>#REF!</v>
      </c>
      <c r="D42" t="e">
        <f t="shared" ref="D42:D46" ca="1" si="69">D18-AL18</f>
        <v>#REF!</v>
      </c>
      <c r="E42" t="e">
        <f t="shared" ref="E42:E46" ca="1" si="70">E18-AM18</f>
        <v>#REF!</v>
      </c>
      <c r="F42" t="e">
        <f t="shared" ref="F42:F46" ca="1" si="71">F18-AN18</f>
        <v>#REF!</v>
      </c>
      <c r="G42" t="e">
        <f t="shared" ref="G42:G46" ca="1" si="72">G18-AO18</f>
        <v>#REF!</v>
      </c>
      <c r="H42" t="e">
        <f t="shared" ref="H42:H46" ca="1" si="73">H18-AP18</f>
        <v>#REF!</v>
      </c>
      <c r="I42" t="e">
        <f t="shared" ref="I42:I46" ca="1" si="74">I18-AQ18</f>
        <v>#REF!</v>
      </c>
      <c r="J42" t="e">
        <f t="shared" ref="J42:J46" ca="1" si="75">J18-AR18</f>
        <v>#REF!</v>
      </c>
      <c r="K42" t="e">
        <f t="shared" ref="K42:K46" ca="1" si="76">K18-AS18</f>
        <v>#REF!</v>
      </c>
      <c r="L42" t="e">
        <f t="shared" ref="L42:L46" ca="1" si="77">L18-AT18</f>
        <v>#REF!</v>
      </c>
      <c r="M42" t="e">
        <f t="shared" ref="M42:M46" ca="1" si="78">M18-AU18</f>
        <v>#REF!</v>
      </c>
      <c r="N42" t="e">
        <f t="shared" ref="N42:N46" ca="1" si="79">N18-AV18</f>
        <v>#REF!</v>
      </c>
      <c r="O42" t="e">
        <f t="shared" ref="O42:O46" ca="1" si="80">O18-AW18</f>
        <v>#REF!</v>
      </c>
      <c r="P42" t="e">
        <f t="shared" ref="P42:P46" ca="1" si="81">P18-AX18</f>
        <v>#REF!</v>
      </c>
    </row>
    <row r="43" spans="1:16" x14ac:dyDescent="0.3">
      <c r="A43" t="s">
        <v>29</v>
      </c>
      <c r="B43" t="s">
        <v>40</v>
      </c>
      <c r="C43" t="e">
        <f t="shared" ref="C43:C46" ca="1" si="82">C19-AK19</f>
        <v>#REF!</v>
      </c>
      <c r="D43" t="e">
        <f t="shared" ca="1" si="69"/>
        <v>#REF!</v>
      </c>
      <c r="E43" t="e">
        <f t="shared" ca="1" si="70"/>
        <v>#REF!</v>
      </c>
      <c r="F43" t="e">
        <f t="shared" ca="1" si="71"/>
        <v>#REF!</v>
      </c>
      <c r="G43" t="e">
        <f t="shared" ca="1" si="72"/>
        <v>#REF!</v>
      </c>
      <c r="H43" t="e">
        <f t="shared" ca="1" si="73"/>
        <v>#REF!</v>
      </c>
      <c r="I43" t="e">
        <f t="shared" ca="1" si="74"/>
        <v>#REF!</v>
      </c>
      <c r="J43" t="e">
        <f t="shared" ca="1" si="75"/>
        <v>#REF!</v>
      </c>
      <c r="K43" t="e">
        <f t="shared" ca="1" si="76"/>
        <v>#REF!</v>
      </c>
      <c r="L43" t="e">
        <f t="shared" ca="1" si="77"/>
        <v>#REF!</v>
      </c>
      <c r="M43" t="e">
        <f t="shared" ca="1" si="78"/>
        <v>#REF!</v>
      </c>
      <c r="N43" t="e">
        <f t="shared" ca="1" si="79"/>
        <v>#REF!</v>
      </c>
      <c r="O43" t="e">
        <f t="shared" ca="1" si="80"/>
        <v>#REF!</v>
      </c>
      <c r="P43" t="e">
        <f t="shared" ca="1" si="81"/>
        <v>#REF!</v>
      </c>
    </row>
    <row r="44" spans="1:16" x14ac:dyDescent="0.3">
      <c r="A44" t="s">
        <v>31</v>
      </c>
      <c r="B44" t="s">
        <v>40</v>
      </c>
      <c r="C44" t="e">
        <f t="shared" ca="1" si="82"/>
        <v>#REF!</v>
      </c>
      <c r="D44" t="e">
        <f t="shared" ca="1" si="69"/>
        <v>#REF!</v>
      </c>
      <c r="E44" t="e">
        <f t="shared" ca="1" si="70"/>
        <v>#REF!</v>
      </c>
      <c r="F44" t="e">
        <f t="shared" ca="1" si="71"/>
        <v>#REF!</v>
      </c>
      <c r="G44" t="e">
        <f t="shared" ca="1" si="72"/>
        <v>#REF!</v>
      </c>
      <c r="H44" t="e">
        <f t="shared" ca="1" si="73"/>
        <v>#REF!</v>
      </c>
      <c r="I44" t="e">
        <f t="shared" ca="1" si="74"/>
        <v>#REF!</v>
      </c>
      <c r="J44" t="e">
        <f t="shared" ca="1" si="75"/>
        <v>#REF!</v>
      </c>
      <c r="K44" t="e">
        <f t="shared" ca="1" si="76"/>
        <v>#REF!</v>
      </c>
      <c r="L44" t="e">
        <f t="shared" ca="1" si="77"/>
        <v>#REF!</v>
      </c>
      <c r="M44" t="e">
        <f t="shared" ca="1" si="78"/>
        <v>#REF!</v>
      </c>
      <c r="N44" t="e">
        <f t="shared" ca="1" si="79"/>
        <v>#REF!</v>
      </c>
      <c r="O44" t="e">
        <f t="shared" ca="1" si="80"/>
        <v>#REF!</v>
      </c>
      <c r="P44" t="e">
        <f t="shared" ca="1" si="81"/>
        <v>#REF!</v>
      </c>
    </row>
    <row r="45" spans="1:16" x14ac:dyDescent="0.3">
      <c r="A45" t="s">
        <v>10</v>
      </c>
      <c r="B45" t="s">
        <v>40</v>
      </c>
      <c r="C45" t="e">
        <f t="shared" ca="1" si="82"/>
        <v>#REF!</v>
      </c>
      <c r="D45" t="e">
        <f t="shared" ca="1" si="69"/>
        <v>#REF!</v>
      </c>
      <c r="E45" t="e">
        <f t="shared" ca="1" si="70"/>
        <v>#REF!</v>
      </c>
      <c r="F45" t="e">
        <f t="shared" ca="1" si="71"/>
        <v>#REF!</v>
      </c>
      <c r="G45" t="e">
        <f t="shared" ca="1" si="72"/>
        <v>#REF!</v>
      </c>
      <c r="H45" t="e">
        <f t="shared" ca="1" si="73"/>
        <v>#REF!</v>
      </c>
      <c r="I45" t="e">
        <f t="shared" ca="1" si="74"/>
        <v>#REF!</v>
      </c>
      <c r="J45" t="e">
        <f t="shared" ca="1" si="75"/>
        <v>#REF!</v>
      </c>
      <c r="K45" t="e">
        <f t="shared" ca="1" si="76"/>
        <v>#REF!</v>
      </c>
      <c r="L45" t="e">
        <f t="shared" ca="1" si="77"/>
        <v>#REF!</v>
      </c>
      <c r="M45" t="e">
        <f t="shared" ca="1" si="78"/>
        <v>#REF!</v>
      </c>
      <c r="N45" t="e">
        <f t="shared" ca="1" si="79"/>
        <v>#REF!</v>
      </c>
      <c r="O45" t="e">
        <f t="shared" ca="1" si="80"/>
        <v>#REF!</v>
      </c>
      <c r="P45" t="e">
        <f t="shared" ca="1" si="81"/>
        <v>#REF!</v>
      </c>
    </row>
    <row r="46" spans="1:16" x14ac:dyDescent="0.3">
      <c r="A46" t="s">
        <v>11</v>
      </c>
      <c r="B46" t="s">
        <v>40</v>
      </c>
      <c r="C46" t="e">
        <f t="shared" ca="1" si="82"/>
        <v>#REF!</v>
      </c>
      <c r="D46" t="e">
        <f t="shared" ca="1" si="69"/>
        <v>#REF!</v>
      </c>
      <c r="E46" t="e">
        <f t="shared" ca="1" si="70"/>
        <v>#REF!</v>
      </c>
      <c r="F46" t="e">
        <f t="shared" ca="1" si="71"/>
        <v>#REF!</v>
      </c>
      <c r="G46" t="e">
        <f t="shared" ca="1" si="72"/>
        <v>#REF!</v>
      </c>
      <c r="H46" t="e">
        <f t="shared" ca="1" si="73"/>
        <v>#REF!</v>
      </c>
      <c r="I46" t="e">
        <f t="shared" ca="1" si="74"/>
        <v>#REF!</v>
      </c>
      <c r="J46" t="e">
        <f t="shared" ca="1" si="75"/>
        <v>#REF!</v>
      </c>
      <c r="K46" t="e">
        <f t="shared" ca="1" si="76"/>
        <v>#REF!</v>
      </c>
      <c r="L46" t="e">
        <f t="shared" ca="1" si="77"/>
        <v>#REF!</v>
      </c>
      <c r="M46" t="e">
        <f t="shared" ca="1" si="78"/>
        <v>#REF!</v>
      </c>
      <c r="N46" t="e">
        <f t="shared" ca="1" si="79"/>
        <v>#REF!</v>
      </c>
      <c r="O46" t="e">
        <f t="shared" ca="1" si="80"/>
        <v>#REF!</v>
      </c>
      <c r="P46" t="e">
        <f t="shared" ca="1" si="81"/>
        <v>#REF!</v>
      </c>
    </row>
    <row r="47" spans="1:16" x14ac:dyDescent="0.3">
      <c r="A47" t="s">
        <v>12</v>
      </c>
      <c r="B47" t="s">
        <v>40</v>
      </c>
      <c r="C47" t="e">
        <f ca="1">C23-AK23</f>
        <v>#REF!</v>
      </c>
      <c r="D47" t="e">
        <f t="shared" ref="D47" ca="1" si="83">D23-AL23</f>
        <v>#REF!</v>
      </c>
      <c r="E47" t="e">
        <f t="shared" ref="E47" ca="1" si="84">E23-AM23</f>
        <v>#REF!</v>
      </c>
      <c r="F47" t="e">
        <f t="shared" ref="F47" ca="1" si="85">F23-AN23</f>
        <v>#REF!</v>
      </c>
      <c r="G47" t="e">
        <f t="shared" ref="G47" ca="1" si="86">G23-AO23</f>
        <v>#REF!</v>
      </c>
      <c r="H47" t="e">
        <f t="shared" ref="H47" ca="1" si="87">H23-AP23</f>
        <v>#REF!</v>
      </c>
      <c r="I47" t="e">
        <f t="shared" ref="I47" ca="1" si="88">I23-AQ23</f>
        <v>#REF!</v>
      </c>
      <c r="J47" t="e">
        <f t="shared" ref="J47" ca="1" si="89">J23-AR23</f>
        <v>#REF!</v>
      </c>
      <c r="K47" t="e">
        <f t="shared" ref="K47" ca="1" si="90">K23-AS23</f>
        <v>#REF!</v>
      </c>
      <c r="L47" t="e">
        <f t="shared" ref="L47" ca="1" si="91">L23-AT23</f>
        <v>#REF!</v>
      </c>
      <c r="M47" t="e">
        <f t="shared" ref="M47" ca="1" si="92">M23-AU23</f>
        <v>#REF!</v>
      </c>
      <c r="N47" t="e">
        <f t="shared" ref="N47" ca="1" si="93">N23-AV23</f>
        <v>#REF!</v>
      </c>
      <c r="O47" t="e">
        <f t="shared" ref="O47" ca="1" si="94">O23-AW23</f>
        <v>#REF!</v>
      </c>
      <c r="P47" t="e">
        <f t="shared" ref="P47" ca="1" si="95">P23-AX23</f>
        <v>#REF!</v>
      </c>
    </row>
    <row r="49" spans="1:16" x14ac:dyDescent="0.3">
      <c r="A49" s="23" t="s">
        <v>28</v>
      </c>
      <c r="B49" s="27" t="s">
        <v>39</v>
      </c>
    </row>
    <row r="50" spans="1:16" x14ac:dyDescent="0.3">
      <c r="A50" t="s">
        <v>33</v>
      </c>
      <c r="B50" t="s">
        <v>41</v>
      </c>
    </row>
    <row r="51" spans="1:16" x14ac:dyDescent="0.3">
      <c r="A51" t="s">
        <v>29</v>
      </c>
      <c r="B51" t="s">
        <v>41</v>
      </c>
      <c r="C51" t="e">
        <f t="shared" ref="C51:P55" ca="1" si="96">C3+AK3</f>
        <v>#REF!</v>
      </c>
      <c r="D51" t="e">
        <f t="shared" ca="1" si="96"/>
        <v>#REF!</v>
      </c>
      <c r="E51" t="e">
        <f t="shared" ca="1" si="96"/>
        <v>#REF!</v>
      </c>
      <c r="F51" t="e">
        <f t="shared" ca="1" si="96"/>
        <v>#REF!</v>
      </c>
      <c r="G51" t="e">
        <f t="shared" ca="1" si="96"/>
        <v>#REF!</v>
      </c>
      <c r="H51" t="e">
        <f t="shared" ca="1" si="96"/>
        <v>#REF!</v>
      </c>
      <c r="I51" t="e">
        <f t="shared" ca="1" si="96"/>
        <v>#REF!</v>
      </c>
      <c r="J51" t="e">
        <f t="shared" ca="1" si="96"/>
        <v>#REF!</v>
      </c>
      <c r="K51" t="e">
        <f t="shared" ca="1" si="96"/>
        <v>#REF!</v>
      </c>
      <c r="L51" t="e">
        <f t="shared" ca="1" si="96"/>
        <v>#REF!</v>
      </c>
      <c r="M51" t="e">
        <f t="shared" ca="1" si="96"/>
        <v>#REF!</v>
      </c>
      <c r="N51" t="e">
        <f t="shared" ca="1" si="96"/>
        <v>#REF!</v>
      </c>
      <c r="O51" t="e">
        <f t="shared" ca="1" si="96"/>
        <v>#REF!</v>
      </c>
      <c r="P51" t="e">
        <f t="shared" ca="1" si="96"/>
        <v>#REF!</v>
      </c>
    </row>
    <row r="52" spans="1:16" x14ac:dyDescent="0.3">
      <c r="A52" t="s">
        <v>31</v>
      </c>
      <c r="B52" t="s">
        <v>41</v>
      </c>
      <c r="C52" t="e">
        <f t="shared" ca="1" si="96"/>
        <v>#REF!</v>
      </c>
      <c r="D52" t="e">
        <f t="shared" ca="1" si="96"/>
        <v>#REF!</v>
      </c>
      <c r="E52" t="e">
        <f t="shared" ca="1" si="96"/>
        <v>#REF!</v>
      </c>
      <c r="F52" t="e">
        <f t="shared" ca="1" si="96"/>
        <v>#REF!</v>
      </c>
      <c r="G52" t="e">
        <f t="shared" ca="1" si="96"/>
        <v>#REF!</v>
      </c>
      <c r="H52" t="e">
        <f t="shared" ca="1" si="96"/>
        <v>#REF!</v>
      </c>
      <c r="I52" t="e">
        <f t="shared" ca="1" si="96"/>
        <v>#REF!</v>
      </c>
      <c r="J52" t="e">
        <f t="shared" ca="1" si="96"/>
        <v>#REF!</v>
      </c>
      <c r="K52" t="e">
        <f t="shared" ca="1" si="96"/>
        <v>#REF!</v>
      </c>
      <c r="L52" t="e">
        <f t="shared" ca="1" si="96"/>
        <v>#REF!</v>
      </c>
      <c r="M52" t="e">
        <f t="shared" ca="1" si="96"/>
        <v>#REF!</v>
      </c>
      <c r="N52" t="e">
        <f t="shared" ca="1" si="96"/>
        <v>#REF!</v>
      </c>
      <c r="O52" t="e">
        <f t="shared" ca="1" si="96"/>
        <v>#REF!</v>
      </c>
      <c r="P52" t="e">
        <f t="shared" ca="1" si="96"/>
        <v>#REF!</v>
      </c>
    </row>
    <row r="53" spans="1:16" x14ac:dyDescent="0.3">
      <c r="A53" t="s">
        <v>10</v>
      </c>
      <c r="B53" t="s">
        <v>41</v>
      </c>
      <c r="C53" t="e">
        <f t="shared" ca="1" si="96"/>
        <v>#REF!</v>
      </c>
      <c r="D53" t="e">
        <f t="shared" ca="1" si="96"/>
        <v>#REF!</v>
      </c>
      <c r="E53" t="e">
        <f t="shared" ca="1" si="96"/>
        <v>#REF!</v>
      </c>
      <c r="F53" t="e">
        <f t="shared" ca="1" si="96"/>
        <v>#REF!</v>
      </c>
      <c r="G53" t="e">
        <f t="shared" ca="1" si="96"/>
        <v>#REF!</v>
      </c>
      <c r="H53" t="e">
        <f t="shared" ca="1" si="96"/>
        <v>#REF!</v>
      </c>
      <c r="I53" t="e">
        <f t="shared" ca="1" si="96"/>
        <v>#REF!</v>
      </c>
      <c r="J53" t="e">
        <f t="shared" ca="1" si="96"/>
        <v>#REF!</v>
      </c>
      <c r="K53" t="e">
        <f t="shared" ca="1" si="96"/>
        <v>#REF!</v>
      </c>
      <c r="L53" t="e">
        <f t="shared" ca="1" si="96"/>
        <v>#REF!</v>
      </c>
      <c r="M53" t="e">
        <f t="shared" ca="1" si="96"/>
        <v>#REF!</v>
      </c>
      <c r="N53" t="e">
        <f t="shared" ca="1" si="96"/>
        <v>#REF!</v>
      </c>
      <c r="O53" t="e">
        <f t="shared" ca="1" si="96"/>
        <v>#REF!</v>
      </c>
      <c r="P53" t="e">
        <f t="shared" ca="1" si="96"/>
        <v>#REF!</v>
      </c>
    </row>
    <row r="54" spans="1:16" x14ac:dyDescent="0.3">
      <c r="A54" t="s">
        <v>11</v>
      </c>
      <c r="B54" t="s">
        <v>41</v>
      </c>
      <c r="C54" t="e">
        <f t="shared" ca="1" si="96"/>
        <v>#REF!</v>
      </c>
      <c r="D54" t="e">
        <f t="shared" ca="1" si="96"/>
        <v>#REF!</v>
      </c>
      <c r="E54" t="e">
        <f t="shared" ca="1" si="96"/>
        <v>#REF!</v>
      </c>
      <c r="F54" t="e">
        <f t="shared" ca="1" si="96"/>
        <v>#REF!</v>
      </c>
      <c r="G54" t="e">
        <f t="shared" ca="1" si="96"/>
        <v>#REF!</v>
      </c>
      <c r="H54" t="e">
        <f t="shared" ca="1" si="96"/>
        <v>#REF!</v>
      </c>
      <c r="I54" t="e">
        <f t="shared" ca="1" si="96"/>
        <v>#REF!</v>
      </c>
      <c r="J54" t="e">
        <f t="shared" ca="1" si="96"/>
        <v>#REF!</v>
      </c>
      <c r="K54" t="e">
        <f t="shared" ca="1" si="96"/>
        <v>#REF!</v>
      </c>
      <c r="L54" t="e">
        <f t="shared" ca="1" si="96"/>
        <v>#REF!</v>
      </c>
      <c r="M54" t="e">
        <f t="shared" ca="1" si="96"/>
        <v>#REF!</v>
      </c>
      <c r="N54" t="e">
        <f t="shared" ca="1" si="96"/>
        <v>#REF!</v>
      </c>
      <c r="O54" t="e">
        <f t="shared" ca="1" si="96"/>
        <v>#REF!</v>
      </c>
      <c r="P54" t="e">
        <f t="shared" ca="1" si="96"/>
        <v>#REF!</v>
      </c>
    </row>
    <row r="55" spans="1:16" x14ac:dyDescent="0.3">
      <c r="A55" t="s">
        <v>12</v>
      </c>
      <c r="B55" t="s">
        <v>41</v>
      </c>
      <c r="C55" t="e">
        <f t="shared" ca="1" si="96"/>
        <v>#REF!</v>
      </c>
      <c r="D55" t="e">
        <f t="shared" ca="1" si="96"/>
        <v>#REF!</v>
      </c>
      <c r="E55" t="e">
        <f t="shared" ca="1" si="96"/>
        <v>#REF!</v>
      </c>
      <c r="F55" t="e">
        <f t="shared" ca="1" si="96"/>
        <v>#REF!</v>
      </c>
      <c r="G55" t="e">
        <f t="shared" ca="1" si="96"/>
        <v>#REF!</v>
      </c>
      <c r="H55" t="e">
        <f t="shared" ca="1" si="96"/>
        <v>#REF!</v>
      </c>
      <c r="I55" t="e">
        <f t="shared" ca="1" si="96"/>
        <v>#REF!</v>
      </c>
      <c r="J55" t="e">
        <f t="shared" ca="1" si="96"/>
        <v>#REF!</v>
      </c>
      <c r="K55" t="e">
        <f t="shared" ca="1" si="96"/>
        <v>#REF!</v>
      </c>
      <c r="L55" t="e">
        <f t="shared" ca="1" si="96"/>
        <v>#REF!</v>
      </c>
      <c r="M55" t="e">
        <f t="shared" ca="1" si="96"/>
        <v>#REF!</v>
      </c>
      <c r="N55" t="e">
        <f t="shared" ca="1" si="96"/>
        <v>#REF!</v>
      </c>
      <c r="O55" t="e">
        <f t="shared" ca="1" si="96"/>
        <v>#REF!</v>
      </c>
      <c r="P55" t="e">
        <f t="shared" ca="1" si="96"/>
        <v>#REF!</v>
      </c>
    </row>
    <row r="57" spans="1:16" x14ac:dyDescent="0.3">
      <c r="A57" s="23" t="s">
        <v>32</v>
      </c>
    </row>
    <row r="58" spans="1:16" x14ac:dyDescent="0.3">
      <c r="A58" t="s">
        <v>33</v>
      </c>
      <c r="B58" t="s">
        <v>41</v>
      </c>
      <c r="C58" t="e">
        <f t="shared" ref="C58:P63" ca="1" si="97">C10+AK10</f>
        <v>#REF!</v>
      </c>
      <c r="D58" t="e">
        <f t="shared" ca="1" si="97"/>
        <v>#REF!</v>
      </c>
      <c r="E58" t="e">
        <f t="shared" ca="1" si="97"/>
        <v>#REF!</v>
      </c>
      <c r="F58" t="e">
        <f t="shared" ca="1" si="97"/>
        <v>#REF!</v>
      </c>
      <c r="G58" t="e">
        <f t="shared" ca="1" si="97"/>
        <v>#REF!</v>
      </c>
      <c r="H58" t="e">
        <f t="shared" ca="1" si="97"/>
        <v>#REF!</v>
      </c>
      <c r="I58" t="e">
        <f t="shared" ca="1" si="97"/>
        <v>#REF!</v>
      </c>
      <c r="J58" t="e">
        <f t="shared" ca="1" si="97"/>
        <v>#REF!</v>
      </c>
      <c r="K58" t="e">
        <f t="shared" ca="1" si="97"/>
        <v>#REF!</v>
      </c>
      <c r="L58" t="e">
        <f t="shared" ca="1" si="97"/>
        <v>#REF!</v>
      </c>
      <c r="M58" t="e">
        <f t="shared" ca="1" si="97"/>
        <v>#REF!</v>
      </c>
      <c r="N58" t="e">
        <f t="shared" ca="1" si="97"/>
        <v>#REF!</v>
      </c>
      <c r="O58" t="e">
        <f t="shared" ca="1" si="97"/>
        <v>#REF!</v>
      </c>
      <c r="P58" t="e">
        <f t="shared" ca="1" si="97"/>
        <v>#REF!</v>
      </c>
    </row>
    <row r="59" spans="1:16" x14ac:dyDescent="0.3">
      <c r="A59" t="s">
        <v>29</v>
      </c>
      <c r="B59" t="s">
        <v>41</v>
      </c>
      <c r="C59" t="e">
        <f t="shared" ca="1" si="97"/>
        <v>#REF!</v>
      </c>
      <c r="D59" t="e">
        <f t="shared" ca="1" si="97"/>
        <v>#REF!</v>
      </c>
      <c r="E59" t="e">
        <f t="shared" ca="1" si="97"/>
        <v>#REF!</v>
      </c>
      <c r="F59" t="e">
        <f t="shared" ca="1" si="97"/>
        <v>#REF!</v>
      </c>
      <c r="G59" t="e">
        <f t="shared" ca="1" si="97"/>
        <v>#REF!</v>
      </c>
      <c r="H59" t="e">
        <f t="shared" ca="1" si="97"/>
        <v>#REF!</v>
      </c>
      <c r="I59" t="e">
        <f t="shared" ca="1" si="97"/>
        <v>#REF!</v>
      </c>
      <c r="J59" t="e">
        <f t="shared" ca="1" si="97"/>
        <v>#REF!</v>
      </c>
      <c r="K59" t="e">
        <f t="shared" ca="1" si="97"/>
        <v>#REF!</v>
      </c>
      <c r="L59" t="e">
        <f t="shared" ca="1" si="97"/>
        <v>#REF!</v>
      </c>
      <c r="M59" t="e">
        <f t="shared" ca="1" si="97"/>
        <v>#REF!</v>
      </c>
      <c r="N59" t="e">
        <f t="shared" ca="1" si="97"/>
        <v>#REF!</v>
      </c>
      <c r="O59" t="e">
        <f t="shared" ca="1" si="97"/>
        <v>#REF!</v>
      </c>
      <c r="P59" t="e">
        <f t="shared" ca="1" si="97"/>
        <v>#REF!</v>
      </c>
    </row>
    <row r="60" spans="1:16" x14ac:dyDescent="0.3">
      <c r="A60" t="s">
        <v>31</v>
      </c>
      <c r="B60" t="s">
        <v>41</v>
      </c>
      <c r="C60" t="e">
        <f t="shared" ca="1" si="97"/>
        <v>#REF!</v>
      </c>
      <c r="D60" t="e">
        <f t="shared" ca="1" si="97"/>
        <v>#REF!</v>
      </c>
      <c r="E60" t="e">
        <f t="shared" ca="1" si="97"/>
        <v>#REF!</v>
      </c>
      <c r="F60" t="e">
        <f t="shared" ca="1" si="97"/>
        <v>#REF!</v>
      </c>
      <c r="G60" t="e">
        <f t="shared" ca="1" si="97"/>
        <v>#REF!</v>
      </c>
      <c r="H60" t="e">
        <f t="shared" ca="1" si="97"/>
        <v>#REF!</v>
      </c>
      <c r="I60" t="e">
        <f t="shared" ca="1" si="97"/>
        <v>#REF!</v>
      </c>
      <c r="J60" t="e">
        <f t="shared" ca="1" si="97"/>
        <v>#REF!</v>
      </c>
      <c r="K60" t="e">
        <f t="shared" ca="1" si="97"/>
        <v>#REF!</v>
      </c>
      <c r="L60" t="e">
        <f t="shared" ca="1" si="97"/>
        <v>#REF!</v>
      </c>
      <c r="M60" t="e">
        <f t="shared" ca="1" si="97"/>
        <v>#REF!</v>
      </c>
      <c r="N60" t="e">
        <f t="shared" ca="1" si="97"/>
        <v>#REF!</v>
      </c>
      <c r="O60" t="e">
        <f t="shared" ca="1" si="97"/>
        <v>#REF!</v>
      </c>
      <c r="P60" t="e">
        <f t="shared" ca="1" si="97"/>
        <v>#REF!</v>
      </c>
    </row>
    <row r="61" spans="1:16" x14ac:dyDescent="0.3">
      <c r="A61" t="s">
        <v>10</v>
      </c>
      <c r="B61" t="s">
        <v>41</v>
      </c>
      <c r="C61" t="e">
        <f t="shared" ca="1" si="97"/>
        <v>#REF!</v>
      </c>
      <c r="D61" t="e">
        <f t="shared" ca="1" si="97"/>
        <v>#REF!</v>
      </c>
      <c r="E61" t="e">
        <f t="shared" ca="1" si="97"/>
        <v>#REF!</v>
      </c>
      <c r="F61" t="e">
        <f t="shared" ca="1" si="97"/>
        <v>#REF!</v>
      </c>
      <c r="G61" t="e">
        <f t="shared" ca="1" si="97"/>
        <v>#REF!</v>
      </c>
      <c r="H61" t="e">
        <f t="shared" ca="1" si="97"/>
        <v>#REF!</v>
      </c>
      <c r="I61" t="e">
        <f t="shared" ca="1" si="97"/>
        <v>#REF!</v>
      </c>
      <c r="J61" t="e">
        <f t="shared" ca="1" si="97"/>
        <v>#REF!</v>
      </c>
      <c r="K61" t="e">
        <f t="shared" ca="1" si="97"/>
        <v>#REF!</v>
      </c>
      <c r="L61" t="e">
        <f t="shared" ca="1" si="97"/>
        <v>#REF!</v>
      </c>
      <c r="M61" t="e">
        <f t="shared" ca="1" si="97"/>
        <v>#REF!</v>
      </c>
      <c r="N61" t="e">
        <f t="shared" ca="1" si="97"/>
        <v>#REF!</v>
      </c>
      <c r="O61" t="e">
        <f t="shared" ca="1" si="97"/>
        <v>#REF!</v>
      </c>
      <c r="P61" t="e">
        <f t="shared" ca="1" si="97"/>
        <v>#REF!</v>
      </c>
    </row>
    <row r="62" spans="1:16" x14ac:dyDescent="0.3">
      <c r="A62" t="s">
        <v>11</v>
      </c>
      <c r="B62" t="s">
        <v>41</v>
      </c>
      <c r="C62" t="e">
        <f t="shared" ca="1" si="97"/>
        <v>#REF!</v>
      </c>
      <c r="D62" t="e">
        <f t="shared" ca="1" si="97"/>
        <v>#REF!</v>
      </c>
      <c r="E62" t="e">
        <f t="shared" ca="1" si="97"/>
        <v>#REF!</v>
      </c>
      <c r="F62" t="e">
        <f t="shared" ca="1" si="97"/>
        <v>#REF!</v>
      </c>
      <c r="G62" t="e">
        <f t="shared" ca="1" si="97"/>
        <v>#REF!</v>
      </c>
      <c r="H62" t="e">
        <f t="shared" ca="1" si="97"/>
        <v>#REF!</v>
      </c>
      <c r="I62" t="e">
        <f t="shared" ca="1" si="97"/>
        <v>#REF!</v>
      </c>
      <c r="J62" t="e">
        <f t="shared" ca="1" si="97"/>
        <v>#REF!</v>
      </c>
      <c r="K62" t="e">
        <f t="shared" ca="1" si="97"/>
        <v>#REF!</v>
      </c>
      <c r="L62" t="e">
        <f t="shared" ca="1" si="97"/>
        <v>#REF!</v>
      </c>
      <c r="M62" t="e">
        <f t="shared" ca="1" si="97"/>
        <v>#REF!</v>
      </c>
      <c r="N62" t="e">
        <f t="shared" ca="1" si="97"/>
        <v>#REF!</v>
      </c>
      <c r="O62" t="e">
        <f t="shared" ca="1" si="97"/>
        <v>#REF!</v>
      </c>
      <c r="P62" t="e">
        <f t="shared" ca="1" si="97"/>
        <v>#REF!</v>
      </c>
    </row>
    <row r="63" spans="1:16" x14ac:dyDescent="0.3">
      <c r="A63" t="s">
        <v>12</v>
      </c>
      <c r="B63" t="s">
        <v>41</v>
      </c>
      <c r="C63" t="e">
        <f t="shared" ca="1" si="97"/>
        <v>#REF!</v>
      </c>
      <c r="D63" t="e">
        <f t="shared" ca="1" si="97"/>
        <v>#REF!</v>
      </c>
      <c r="E63" t="e">
        <f t="shared" ca="1" si="97"/>
        <v>#REF!</v>
      </c>
      <c r="F63" t="e">
        <f t="shared" ca="1" si="97"/>
        <v>#REF!</v>
      </c>
      <c r="G63" t="e">
        <f t="shared" ca="1" si="97"/>
        <v>#REF!</v>
      </c>
      <c r="H63" t="e">
        <f t="shared" ca="1" si="97"/>
        <v>#REF!</v>
      </c>
      <c r="I63" t="e">
        <f t="shared" ca="1" si="97"/>
        <v>#REF!</v>
      </c>
      <c r="J63" t="e">
        <f t="shared" ca="1" si="97"/>
        <v>#REF!</v>
      </c>
      <c r="K63" t="e">
        <f t="shared" ca="1" si="97"/>
        <v>#REF!</v>
      </c>
      <c r="L63" t="e">
        <f t="shared" ca="1" si="97"/>
        <v>#REF!</v>
      </c>
      <c r="M63" t="e">
        <f t="shared" ca="1" si="97"/>
        <v>#REF!</v>
      </c>
      <c r="N63" t="e">
        <f t="shared" ca="1" si="97"/>
        <v>#REF!</v>
      </c>
      <c r="O63" t="e">
        <f t="shared" ca="1" si="97"/>
        <v>#REF!</v>
      </c>
      <c r="P63" t="e">
        <f t="shared" ca="1" si="97"/>
        <v>#REF!</v>
      </c>
    </row>
    <row r="65" spans="1:16" x14ac:dyDescent="0.3">
      <c r="A65" s="23" t="s">
        <v>24</v>
      </c>
    </row>
    <row r="66" spans="1:16" x14ac:dyDescent="0.3">
      <c r="A66" t="s">
        <v>33</v>
      </c>
      <c r="B66" t="s">
        <v>41</v>
      </c>
      <c r="C66" t="e">
        <f t="shared" ref="C66:P71" ca="1" si="98">C18+AK18</f>
        <v>#REF!</v>
      </c>
      <c r="D66" t="e">
        <f t="shared" ca="1" si="98"/>
        <v>#REF!</v>
      </c>
      <c r="E66" t="e">
        <f t="shared" ca="1" si="98"/>
        <v>#REF!</v>
      </c>
      <c r="F66" t="e">
        <f t="shared" ca="1" si="98"/>
        <v>#REF!</v>
      </c>
      <c r="G66" t="e">
        <f t="shared" ca="1" si="98"/>
        <v>#REF!</v>
      </c>
      <c r="H66" t="e">
        <f t="shared" ca="1" si="98"/>
        <v>#REF!</v>
      </c>
      <c r="I66" t="e">
        <f t="shared" ca="1" si="98"/>
        <v>#REF!</v>
      </c>
      <c r="J66" t="e">
        <f t="shared" ca="1" si="98"/>
        <v>#REF!</v>
      </c>
      <c r="K66" t="e">
        <f t="shared" ca="1" si="98"/>
        <v>#REF!</v>
      </c>
      <c r="L66" t="e">
        <f t="shared" ca="1" si="98"/>
        <v>#REF!</v>
      </c>
      <c r="M66" t="e">
        <f t="shared" ca="1" si="98"/>
        <v>#REF!</v>
      </c>
      <c r="N66" t="e">
        <f t="shared" ca="1" si="98"/>
        <v>#REF!</v>
      </c>
      <c r="O66" t="e">
        <f t="shared" ca="1" si="98"/>
        <v>#REF!</v>
      </c>
      <c r="P66" t="e">
        <f t="shared" ca="1" si="98"/>
        <v>#REF!</v>
      </c>
    </row>
    <row r="67" spans="1:16" x14ac:dyDescent="0.3">
      <c r="A67" t="s">
        <v>29</v>
      </c>
      <c r="B67" t="s">
        <v>41</v>
      </c>
      <c r="C67" t="e">
        <f t="shared" ca="1" si="98"/>
        <v>#REF!</v>
      </c>
      <c r="D67" t="e">
        <f t="shared" ca="1" si="98"/>
        <v>#REF!</v>
      </c>
      <c r="E67" t="e">
        <f t="shared" ca="1" si="98"/>
        <v>#REF!</v>
      </c>
      <c r="F67" t="e">
        <f t="shared" ca="1" si="98"/>
        <v>#REF!</v>
      </c>
      <c r="G67" t="e">
        <f t="shared" ca="1" si="98"/>
        <v>#REF!</v>
      </c>
      <c r="H67" t="e">
        <f t="shared" ca="1" si="98"/>
        <v>#REF!</v>
      </c>
      <c r="I67" t="e">
        <f t="shared" ca="1" si="98"/>
        <v>#REF!</v>
      </c>
      <c r="J67" t="e">
        <f t="shared" ca="1" si="98"/>
        <v>#REF!</v>
      </c>
      <c r="K67" t="e">
        <f t="shared" ca="1" si="98"/>
        <v>#REF!</v>
      </c>
      <c r="L67" t="e">
        <f t="shared" ca="1" si="98"/>
        <v>#REF!</v>
      </c>
      <c r="M67" t="e">
        <f t="shared" ca="1" si="98"/>
        <v>#REF!</v>
      </c>
      <c r="N67" t="e">
        <f t="shared" ca="1" si="98"/>
        <v>#REF!</v>
      </c>
      <c r="O67" t="e">
        <f t="shared" ca="1" si="98"/>
        <v>#REF!</v>
      </c>
      <c r="P67" t="e">
        <f t="shared" ca="1" si="98"/>
        <v>#REF!</v>
      </c>
    </row>
    <row r="68" spans="1:16" x14ac:dyDescent="0.3">
      <c r="A68" t="s">
        <v>31</v>
      </c>
      <c r="B68" t="s">
        <v>41</v>
      </c>
      <c r="C68" t="e">
        <f t="shared" ca="1" si="98"/>
        <v>#REF!</v>
      </c>
      <c r="D68" t="e">
        <f t="shared" ca="1" si="98"/>
        <v>#REF!</v>
      </c>
      <c r="E68" t="e">
        <f t="shared" ca="1" si="98"/>
        <v>#REF!</v>
      </c>
      <c r="F68" t="e">
        <f t="shared" ca="1" si="98"/>
        <v>#REF!</v>
      </c>
      <c r="G68" t="e">
        <f t="shared" ca="1" si="98"/>
        <v>#REF!</v>
      </c>
      <c r="H68" t="e">
        <f t="shared" ca="1" si="98"/>
        <v>#REF!</v>
      </c>
      <c r="I68" t="e">
        <f t="shared" ca="1" si="98"/>
        <v>#REF!</v>
      </c>
      <c r="J68" t="e">
        <f t="shared" ca="1" si="98"/>
        <v>#REF!</v>
      </c>
      <c r="K68" t="e">
        <f t="shared" ca="1" si="98"/>
        <v>#REF!</v>
      </c>
      <c r="L68" t="e">
        <f t="shared" ca="1" si="98"/>
        <v>#REF!</v>
      </c>
      <c r="M68" t="e">
        <f t="shared" ca="1" si="98"/>
        <v>#REF!</v>
      </c>
      <c r="N68" t="e">
        <f t="shared" ca="1" si="98"/>
        <v>#REF!</v>
      </c>
      <c r="O68" t="e">
        <f t="shared" ca="1" si="98"/>
        <v>#REF!</v>
      </c>
      <c r="P68" t="e">
        <f t="shared" ca="1" si="98"/>
        <v>#REF!</v>
      </c>
    </row>
    <row r="69" spans="1:16" x14ac:dyDescent="0.3">
      <c r="A69" t="s">
        <v>10</v>
      </c>
      <c r="B69" t="s">
        <v>41</v>
      </c>
      <c r="C69" t="e">
        <f t="shared" ca="1" si="98"/>
        <v>#REF!</v>
      </c>
      <c r="D69" t="e">
        <f t="shared" ca="1" si="98"/>
        <v>#REF!</v>
      </c>
      <c r="E69" t="e">
        <f t="shared" ca="1" si="98"/>
        <v>#REF!</v>
      </c>
      <c r="F69" t="e">
        <f t="shared" ca="1" si="98"/>
        <v>#REF!</v>
      </c>
      <c r="G69" t="e">
        <f t="shared" ca="1" si="98"/>
        <v>#REF!</v>
      </c>
      <c r="H69" t="e">
        <f t="shared" ca="1" si="98"/>
        <v>#REF!</v>
      </c>
      <c r="I69" t="e">
        <f t="shared" ca="1" si="98"/>
        <v>#REF!</v>
      </c>
      <c r="J69" t="e">
        <f t="shared" ca="1" si="98"/>
        <v>#REF!</v>
      </c>
      <c r="K69" t="e">
        <f t="shared" ca="1" si="98"/>
        <v>#REF!</v>
      </c>
      <c r="L69" t="e">
        <f t="shared" ca="1" si="98"/>
        <v>#REF!</v>
      </c>
      <c r="M69" t="e">
        <f t="shared" ca="1" si="98"/>
        <v>#REF!</v>
      </c>
      <c r="N69" t="e">
        <f t="shared" ca="1" si="98"/>
        <v>#REF!</v>
      </c>
      <c r="O69" t="e">
        <f t="shared" ca="1" si="98"/>
        <v>#REF!</v>
      </c>
      <c r="P69" t="e">
        <f t="shared" ca="1" si="98"/>
        <v>#REF!</v>
      </c>
    </row>
    <row r="70" spans="1:16" x14ac:dyDescent="0.3">
      <c r="A70" t="s">
        <v>11</v>
      </c>
      <c r="B70" t="s">
        <v>41</v>
      </c>
      <c r="C70" t="e">
        <f t="shared" ca="1" si="98"/>
        <v>#REF!</v>
      </c>
      <c r="D70" t="e">
        <f t="shared" ca="1" si="98"/>
        <v>#REF!</v>
      </c>
      <c r="E70" t="e">
        <f t="shared" ca="1" si="98"/>
        <v>#REF!</v>
      </c>
      <c r="F70" t="e">
        <f t="shared" ca="1" si="98"/>
        <v>#REF!</v>
      </c>
      <c r="G70" t="e">
        <f t="shared" ca="1" si="98"/>
        <v>#REF!</v>
      </c>
      <c r="H70" t="e">
        <f t="shared" ca="1" si="98"/>
        <v>#REF!</v>
      </c>
      <c r="I70" t="e">
        <f t="shared" ca="1" si="98"/>
        <v>#REF!</v>
      </c>
      <c r="J70" t="e">
        <f t="shared" ca="1" si="98"/>
        <v>#REF!</v>
      </c>
      <c r="K70" t="e">
        <f t="shared" ca="1" si="98"/>
        <v>#REF!</v>
      </c>
      <c r="L70" t="e">
        <f t="shared" ca="1" si="98"/>
        <v>#REF!</v>
      </c>
      <c r="M70" t="e">
        <f t="shared" ca="1" si="98"/>
        <v>#REF!</v>
      </c>
      <c r="N70" t="e">
        <f t="shared" ca="1" si="98"/>
        <v>#REF!</v>
      </c>
      <c r="O70" t="e">
        <f t="shared" ca="1" si="98"/>
        <v>#REF!</v>
      </c>
      <c r="P70" t="e">
        <f t="shared" ca="1" si="98"/>
        <v>#REF!</v>
      </c>
    </row>
    <row r="71" spans="1:16" x14ac:dyDescent="0.3">
      <c r="A71" t="s">
        <v>12</v>
      </c>
      <c r="B71" t="s">
        <v>41</v>
      </c>
      <c r="C71" t="e">
        <f t="shared" ca="1" si="98"/>
        <v>#REF!</v>
      </c>
      <c r="D71" t="e">
        <f t="shared" ca="1" si="98"/>
        <v>#REF!</v>
      </c>
      <c r="E71" t="e">
        <f t="shared" ca="1" si="98"/>
        <v>#REF!</v>
      </c>
      <c r="F71" t="e">
        <f t="shared" ca="1" si="98"/>
        <v>#REF!</v>
      </c>
      <c r="G71" t="e">
        <f t="shared" ca="1" si="98"/>
        <v>#REF!</v>
      </c>
      <c r="H71" t="e">
        <f t="shared" ca="1" si="98"/>
        <v>#REF!</v>
      </c>
      <c r="I71" t="e">
        <f t="shared" ca="1" si="98"/>
        <v>#REF!</v>
      </c>
      <c r="J71" t="e">
        <f t="shared" ca="1" si="98"/>
        <v>#REF!</v>
      </c>
      <c r="K71" t="e">
        <f t="shared" ca="1" si="98"/>
        <v>#REF!</v>
      </c>
      <c r="L71" t="e">
        <f t="shared" ca="1" si="98"/>
        <v>#REF!</v>
      </c>
      <c r="M71" t="e">
        <f t="shared" ca="1" si="98"/>
        <v>#REF!</v>
      </c>
      <c r="N71" t="e">
        <f t="shared" ca="1" si="98"/>
        <v>#REF!</v>
      </c>
      <c r="O71" t="e">
        <f t="shared" ca="1" si="98"/>
        <v>#REF!</v>
      </c>
      <c r="P71" t="e">
        <f t="shared" ca="1" si="98"/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405F-6584-42B4-BBC1-ABD2AA572D39}">
  <dimension ref="A1:AQ20"/>
  <sheetViews>
    <sheetView workbookViewId="0">
      <selection activeCell="T10" sqref="T10"/>
    </sheetView>
  </sheetViews>
  <sheetFormatPr defaultRowHeight="14.4" x14ac:dyDescent="0.3"/>
  <sheetData>
    <row r="1" spans="1:43" x14ac:dyDescent="0.3">
      <c r="A1" t="s">
        <v>50</v>
      </c>
      <c r="B1">
        <v>2023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P1" t="s">
        <v>53</v>
      </c>
      <c r="Q1">
        <v>2023</v>
      </c>
      <c r="R1">
        <v>2024</v>
      </c>
      <c r="S1">
        <v>2025</v>
      </c>
      <c r="T1">
        <v>2026</v>
      </c>
      <c r="U1">
        <v>2027</v>
      </c>
      <c r="V1">
        <v>2028</v>
      </c>
      <c r="W1">
        <v>2029</v>
      </c>
      <c r="X1">
        <v>2030</v>
      </c>
      <c r="Y1">
        <v>2031</v>
      </c>
      <c r="Z1">
        <v>2032</v>
      </c>
      <c r="AA1">
        <v>2033</v>
      </c>
      <c r="AB1">
        <v>2034</v>
      </c>
      <c r="AC1">
        <v>2035</v>
      </c>
    </row>
    <row r="2" spans="1:43" x14ac:dyDescent="0.3">
      <c r="A2" t="s">
        <v>33</v>
      </c>
      <c r="B2" t="e">
        <f ca="1">SUM(B3:B6)</f>
        <v>#REF!</v>
      </c>
      <c r="C2" t="e">
        <f t="shared" ref="C2:N2" ca="1" si="0">SUM(C3:C6)</f>
        <v>#REF!</v>
      </c>
      <c r="D2" t="e">
        <f t="shared" ca="1" si="0"/>
        <v>#REF!</v>
      </c>
      <c r="E2" t="e">
        <f t="shared" ca="1" si="0"/>
        <v>#REF!</v>
      </c>
      <c r="F2" t="e">
        <f t="shared" ca="1" si="0"/>
        <v>#REF!</v>
      </c>
      <c r="G2" t="e">
        <f t="shared" ca="1" si="0"/>
        <v>#REF!</v>
      </c>
      <c r="H2" t="e">
        <f t="shared" ca="1" si="0"/>
        <v>#REF!</v>
      </c>
      <c r="I2" t="e">
        <f t="shared" ca="1" si="0"/>
        <v>#REF!</v>
      </c>
      <c r="J2" t="e">
        <f t="shared" ca="1" si="0"/>
        <v>#REF!</v>
      </c>
      <c r="K2" t="e">
        <f t="shared" ca="1" si="0"/>
        <v>#REF!</v>
      </c>
      <c r="L2" t="e">
        <f t="shared" ca="1" si="0"/>
        <v>#REF!</v>
      </c>
      <c r="M2" t="e">
        <f t="shared" ca="1" si="0"/>
        <v>#REF!</v>
      </c>
      <c r="N2" t="e">
        <f t="shared" ca="1" si="0"/>
        <v>#REF!</v>
      </c>
      <c r="P2" t="s">
        <v>33</v>
      </c>
    </row>
    <row r="3" spans="1:43" x14ac:dyDescent="0.3">
      <c r="A3" t="s">
        <v>10</v>
      </c>
      <c r="B3" t="e">
        <f ca="1">AVERAGE(OFFSET(ichd_yearly!B:B,1,0,COUNTA(ichd_yearly!B:B)-1))/1000000</f>
        <v>#REF!</v>
      </c>
      <c r="C3" t="e">
        <f ca="1">AVERAGE(OFFSET(ichd_yearly!C:C,1,0,COUNTA(ichd_yearly!C:C)-1))/1000000</f>
        <v>#REF!</v>
      </c>
      <c r="D3" t="e">
        <f ca="1">AVERAGE(OFFSET(ichd_yearly!D:D,1,0,COUNTA(ichd_yearly!D:D)-1))/1000000</f>
        <v>#REF!</v>
      </c>
      <c r="E3" t="e">
        <f ca="1">AVERAGE(OFFSET(ichd_yearly!E:E,1,0,COUNTA(ichd_yearly!E:E)-1))/1000000</f>
        <v>#REF!</v>
      </c>
      <c r="F3" t="e">
        <f ca="1">AVERAGE(OFFSET(ichd_yearly!F:F,1,0,COUNTA(ichd_yearly!F:F)-1))/1000000</f>
        <v>#REF!</v>
      </c>
      <c r="G3" t="e">
        <f ca="1">AVERAGE(OFFSET(ichd_yearly!G:G,1,0,COUNTA(ichd_yearly!G:G)-1))/1000000</f>
        <v>#REF!</v>
      </c>
      <c r="H3" t="e">
        <f ca="1">AVERAGE(OFFSET(ichd_yearly!H:H,1,0,COUNTA(ichd_yearly!H:H)-1))/1000000</f>
        <v>#REF!</v>
      </c>
      <c r="I3" t="e">
        <f ca="1">AVERAGE(OFFSET(ichd_yearly!I:I,1,0,COUNTA(ichd_yearly!I:I)-1))/1000000</f>
        <v>#REF!</v>
      </c>
      <c r="J3" t="e">
        <f ca="1">AVERAGE(OFFSET(ichd_yearly!J:J,1,0,COUNTA(ichd_yearly!J:J)-1))/1000000</f>
        <v>#REF!</v>
      </c>
      <c r="K3" t="e">
        <f ca="1">AVERAGE(OFFSET(ichd_yearly!K:K,1,0,COUNTA(ichd_yearly!K:K)-1))/1000000</f>
        <v>#REF!</v>
      </c>
      <c r="L3" t="e">
        <f ca="1">AVERAGE(OFFSET(ichd_yearly!L:L,1,0,COUNTA(ichd_yearly!L:L)-1))/1000000</f>
        <v>#REF!</v>
      </c>
      <c r="M3" t="e">
        <f ca="1">AVERAGE(OFFSET(ichd_yearly!M:M,1,0,COUNTA(ichd_yearly!M:M)-1))/1000000</f>
        <v>#REF!</v>
      </c>
      <c r="N3" t="e">
        <f ca="1">AVERAGE(OFFSET(ichd_yearly!N:N,1,0,COUNTA(ichd_yearly!N:N)-1))/1000000</f>
        <v>#REF!</v>
      </c>
      <c r="P3" t="s">
        <v>10</v>
      </c>
      <c r="Q3" t="e" cm="1">
        <f t="array" aca="1" ref="Q3" ca="1">_xlfn.STDEV.S(OFFSET(ichd_yearly!B:B,1,0,COUNTA(ichd_yearly!B:B)-1)/1000000)</f>
        <v>#REF!</v>
      </c>
      <c r="R3" t="e" cm="1">
        <f t="array" aca="1" ref="R3" ca="1">_xlfn.STDEV.S(OFFSET(ichd_yearly!C:C,1,0,COUNTA(ichd_yearly!C:C)-1)/1000000)</f>
        <v>#REF!</v>
      </c>
      <c r="S3" t="e" cm="1">
        <f t="array" aca="1" ref="S3" ca="1">_xlfn.STDEV.S(OFFSET(ichd_yearly!D:D,1,0,COUNTA(ichd_yearly!D:D)-1)/1000000)</f>
        <v>#REF!</v>
      </c>
      <c r="T3" t="e" cm="1">
        <f t="array" aca="1" ref="T3" ca="1">_xlfn.STDEV.S(OFFSET(ichd_yearly!E:E,1,0,COUNTA(ichd_yearly!E:E)-1)/1000000)</f>
        <v>#REF!</v>
      </c>
      <c r="U3" t="e" cm="1">
        <f t="array" aca="1" ref="U3" ca="1">_xlfn.STDEV.S(OFFSET(ichd_yearly!F:F,1,0,COUNTA(ichd_yearly!F:F)-1)/1000000)</f>
        <v>#REF!</v>
      </c>
      <c r="V3" t="e" cm="1">
        <f t="array" aca="1" ref="V3" ca="1">_xlfn.STDEV.S(OFFSET(ichd_yearly!G:G,1,0,COUNTA(ichd_yearly!G:G)-1)/1000000)</f>
        <v>#REF!</v>
      </c>
      <c r="W3" t="e" cm="1">
        <f t="array" aca="1" ref="W3" ca="1">_xlfn.STDEV.S(OFFSET(ichd_yearly!H:H,1,0,COUNTA(ichd_yearly!H:H)-1)/1000000)</f>
        <v>#REF!</v>
      </c>
      <c r="X3" t="e" cm="1">
        <f t="array" aca="1" ref="X3" ca="1">_xlfn.STDEV.S(OFFSET(ichd_yearly!I:I,1,0,COUNTA(ichd_yearly!I:I)-1)/1000000)</f>
        <v>#REF!</v>
      </c>
      <c r="Y3" t="e" cm="1">
        <f t="array" aca="1" ref="Y3" ca="1">_xlfn.STDEV.S(OFFSET(ichd_yearly!J:J,1,0,COUNTA(ichd_yearly!J:J)-1)/1000000)</f>
        <v>#REF!</v>
      </c>
      <c r="Z3" t="e" cm="1">
        <f t="array" aca="1" ref="Z3" ca="1">_xlfn.STDEV.S(OFFSET(ichd_yearly!K:K,1,0,COUNTA(ichd_yearly!K:K)-1)/1000000)</f>
        <v>#REF!</v>
      </c>
      <c r="AA3" t="e" cm="1">
        <f t="array" aca="1" ref="AA3" ca="1">_xlfn.STDEV.S(OFFSET(ichd_yearly!L:L,1,0,COUNTA(ichd_yearly!L:L)-1)/1000000)</f>
        <v>#REF!</v>
      </c>
      <c r="AB3" t="e" cm="1">
        <f t="array" aca="1" ref="AB3" ca="1">_xlfn.STDEV.S(OFFSET(ichd_yearly!M:M,1,0,COUNTA(ichd_yearly!M:M)-1)/1000000)</f>
        <v>#REF!</v>
      </c>
      <c r="AC3" t="e" cm="1">
        <f t="array" aca="1" ref="AC3" ca="1">_xlfn.STDEV.S(OFFSET(ichd_yearly!N:N,1,0,COUNTA(ichd_yearly!N:N)-1)/1000000)</f>
        <v>#REF!</v>
      </c>
      <c r="AE3" t="e">
        <f ca="1">1.96*Q3/SQRT(COUNT(ichd_yearly!B:B)-1)</f>
        <v>#REF!</v>
      </c>
      <c r="AF3" t="e">
        <f ca="1">1.96*R3/SQRT(COUNT(ichd_yearly!C:C)-1)</f>
        <v>#REF!</v>
      </c>
      <c r="AG3" t="e">
        <f ca="1">1.96*S3/SQRT(COUNT(ichd_yearly!D:D)-1)</f>
        <v>#REF!</v>
      </c>
      <c r="AH3" t="e">
        <f ca="1">1.96*T3/SQRT(COUNT(ichd_yearly!E:E)-1)</f>
        <v>#REF!</v>
      </c>
      <c r="AI3" t="e">
        <f ca="1">1.96*U3/SQRT(COUNT(ichd_yearly!F:F)-1)</f>
        <v>#REF!</v>
      </c>
      <c r="AJ3" t="e">
        <f ca="1">1.96*V3/SQRT(COUNT(ichd_yearly!G:G)-1)</f>
        <v>#REF!</v>
      </c>
      <c r="AK3" t="e">
        <f ca="1">1.96*W3/SQRT(COUNT(ichd_yearly!H:H)-1)</f>
        <v>#REF!</v>
      </c>
      <c r="AL3" t="e">
        <f ca="1">1.96*X3/SQRT(COUNT(ichd_yearly!I:I)-1)</f>
        <v>#REF!</v>
      </c>
      <c r="AM3" t="e">
        <f ca="1">1.96*Y3/SQRT(COUNT(ichd_yearly!J:J)-1)</f>
        <v>#REF!</v>
      </c>
      <c r="AN3" t="e">
        <f ca="1">1.96*Z3/SQRT(COUNT(ichd_yearly!K:K)-1)</f>
        <v>#REF!</v>
      </c>
      <c r="AO3" t="e">
        <f ca="1">1.96*AA3/SQRT(COUNT(ichd_yearly!L:L)-1)</f>
        <v>#REF!</v>
      </c>
      <c r="AP3" t="e">
        <f ca="1">1.96*AB3/SQRT(COUNT(ichd_yearly!M:M)-1)</f>
        <v>#REF!</v>
      </c>
      <c r="AQ3" t="e">
        <f ca="1">1.96*AC3/SQRT(COUNT(ichd_yearly!N:N)-1)</f>
        <v>#REF!</v>
      </c>
    </row>
    <row r="4" spans="1:43" x14ac:dyDescent="0.3">
      <c r="A4" t="s">
        <v>11</v>
      </c>
      <c r="B4" t="e">
        <f ca="1">AVERAGE(OFFSET(hhd_yearly!B:B,1,0,COUNTA(hhd_yearly!B:B)-1))/1000000</f>
        <v>#REF!</v>
      </c>
      <c r="C4" t="e">
        <f ca="1">AVERAGE(OFFSET(hhd_yearly!C:C,1,0,COUNTA(hhd_yearly!C:C)-1))/1000000</f>
        <v>#REF!</v>
      </c>
      <c r="D4" t="e">
        <f ca="1">AVERAGE(OFFSET(hhd_yearly!D:D,1,0,COUNTA(hhd_yearly!D:D)-1))/1000000</f>
        <v>#REF!</v>
      </c>
      <c r="E4" t="e">
        <f ca="1">AVERAGE(OFFSET(hhd_yearly!E:E,1,0,COUNTA(hhd_yearly!E:E)-1))/1000000</f>
        <v>#REF!</v>
      </c>
      <c r="F4" t="e">
        <f ca="1">AVERAGE(OFFSET(hhd_yearly!F:F,1,0,COUNTA(hhd_yearly!F:F)-1))/1000000</f>
        <v>#REF!</v>
      </c>
      <c r="G4" t="e">
        <f ca="1">AVERAGE(OFFSET(hhd_yearly!G:G,1,0,COUNTA(hhd_yearly!G:G)-1))/1000000</f>
        <v>#REF!</v>
      </c>
      <c r="H4" t="e">
        <f ca="1">AVERAGE(OFFSET(hhd_yearly!H:H,1,0,COUNTA(hhd_yearly!H:H)-1))/1000000</f>
        <v>#REF!</v>
      </c>
      <c r="I4" t="e">
        <f ca="1">AVERAGE(OFFSET(hhd_yearly!I:I,1,0,COUNTA(hhd_yearly!I:I)-1))/1000000</f>
        <v>#REF!</v>
      </c>
      <c r="J4" t="e">
        <f ca="1">AVERAGE(OFFSET(hhd_yearly!J:J,1,0,COUNTA(hhd_yearly!J:J)-1))/1000000</f>
        <v>#REF!</v>
      </c>
      <c r="K4" t="e">
        <f ca="1">AVERAGE(OFFSET(hhd_yearly!K:K,1,0,COUNTA(hhd_yearly!K:K)-1))/1000000</f>
        <v>#REF!</v>
      </c>
      <c r="L4" t="e">
        <f ca="1">AVERAGE(OFFSET(hhd_yearly!L:L,1,0,COUNTA(hhd_yearly!L:L)-1))/1000000</f>
        <v>#REF!</v>
      </c>
      <c r="M4" t="e">
        <f ca="1">AVERAGE(OFFSET(hhd_yearly!M:M,1,0,COUNTA(hhd_yearly!M:M)-1))/1000000</f>
        <v>#REF!</v>
      </c>
      <c r="N4" t="e">
        <f ca="1">AVERAGE(OFFSET(hhd_yearly!N:N,1,0,COUNTA(hhd_yearly!N:N)-1))/1000000</f>
        <v>#REF!</v>
      </c>
      <c r="P4" t="s">
        <v>11</v>
      </c>
      <c r="Q4" t="e" cm="1">
        <f t="array" aca="1" ref="Q4" ca="1">_xlfn.STDEV.S(OFFSET(hhd_yearly!B:B,1,0,COUNTA(hhd_yearly!B:B)-1)/1000000)</f>
        <v>#REF!</v>
      </c>
      <c r="R4" t="e" cm="1">
        <f t="array" aca="1" ref="R4" ca="1">_xlfn.STDEV.S(OFFSET(hhd_yearly!C:C,1,0,COUNTA(hhd_yearly!C:C)-1)/1000000)</f>
        <v>#REF!</v>
      </c>
      <c r="S4" t="e" cm="1">
        <f t="array" aca="1" ref="S4" ca="1">_xlfn.STDEV.S(OFFSET(hhd_yearly!D:D,1,0,COUNTA(hhd_yearly!D:D)-1)/1000000)</f>
        <v>#REF!</v>
      </c>
      <c r="T4" t="e" cm="1">
        <f t="array" aca="1" ref="T4" ca="1">_xlfn.STDEV.S(OFFSET(hhd_yearly!E:E,1,0,COUNTA(hhd_yearly!E:E)-1)/1000000)</f>
        <v>#REF!</v>
      </c>
      <c r="U4" t="e" cm="1">
        <f t="array" aca="1" ref="U4" ca="1">_xlfn.STDEV.S(OFFSET(hhd_yearly!F:F,1,0,COUNTA(hhd_yearly!F:F)-1)/1000000)</f>
        <v>#REF!</v>
      </c>
      <c r="V4" t="e" cm="1">
        <f t="array" aca="1" ref="V4" ca="1">_xlfn.STDEV.S(OFFSET(hhd_yearly!G:G,1,0,COUNTA(hhd_yearly!G:G)-1)/1000000)</f>
        <v>#REF!</v>
      </c>
      <c r="W4" t="e" cm="1">
        <f t="array" aca="1" ref="W4" ca="1">_xlfn.STDEV.S(OFFSET(hhd_yearly!H:H,1,0,COUNTA(hhd_yearly!H:H)-1)/1000000)</f>
        <v>#REF!</v>
      </c>
      <c r="X4" t="e" cm="1">
        <f t="array" aca="1" ref="X4" ca="1">_xlfn.STDEV.S(OFFSET(hhd_yearly!I:I,1,0,COUNTA(hhd_yearly!I:I)-1)/1000000)</f>
        <v>#REF!</v>
      </c>
      <c r="Y4" t="e" cm="1">
        <f t="array" aca="1" ref="Y4" ca="1">_xlfn.STDEV.S(OFFSET(hhd_yearly!J:J,1,0,COUNTA(hhd_yearly!J:J)-1)/1000000)</f>
        <v>#REF!</v>
      </c>
      <c r="Z4" t="e" cm="1">
        <f t="array" aca="1" ref="Z4" ca="1">_xlfn.STDEV.S(OFFSET(hhd_yearly!K:K,1,0,COUNTA(hhd_yearly!K:K)-1)/1000000)</f>
        <v>#REF!</v>
      </c>
      <c r="AA4" t="e" cm="1">
        <f t="array" aca="1" ref="AA4" ca="1">_xlfn.STDEV.S(OFFSET(hhd_yearly!L:L,1,0,COUNTA(hhd_yearly!L:L)-1)/1000000)</f>
        <v>#REF!</v>
      </c>
      <c r="AB4" t="e" cm="1">
        <f t="array" aca="1" ref="AB4" ca="1">_xlfn.STDEV.S(OFFSET(hhd_yearly!M:M,1,0,COUNTA(hhd_yearly!M:M)-1)/1000000)</f>
        <v>#REF!</v>
      </c>
      <c r="AC4" t="e" cm="1">
        <f t="array" aca="1" ref="AC4" ca="1">_xlfn.STDEV.S(OFFSET(hhd_yearly!N:N,1,0,COUNTA(hhd_yearly!N:N)-1)/1000000)</f>
        <v>#REF!</v>
      </c>
      <c r="AE4" t="e">
        <f ca="1">1.96*Q4/SQRT(COUNT(ichd_yearly!B:B)-1)</f>
        <v>#REF!</v>
      </c>
      <c r="AF4" t="e">
        <f ca="1">1.96*R4/SQRT(COUNT(ichd_yearly!C:C)-1)</f>
        <v>#REF!</v>
      </c>
      <c r="AG4" t="e">
        <f ca="1">1.96*S4/SQRT(COUNT(ichd_yearly!D:D)-1)</f>
        <v>#REF!</v>
      </c>
      <c r="AH4" t="e">
        <f ca="1">1.96*T4/SQRT(COUNT(ichd_yearly!E:E)-1)</f>
        <v>#REF!</v>
      </c>
      <c r="AI4" t="e">
        <f ca="1">1.96*U4/SQRT(COUNT(ichd_yearly!F:F)-1)</f>
        <v>#REF!</v>
      </c>
      <c r="AJ4" t="e">
        <f ca="1">1.96*V4/SQRT(COUNT(ichd_yearly!G:G)-1)</f>
        <v>#REF!</v>
      </c>
      <c r="AK4" t="e">
        <f ca="1">1.96*W4/SQRT(COUNT(ichd_yearly!H:H)-1)</f>
        <v>#REF!</v>
      </c>
      <c r="AL4" t="e">
        <f ca="1">1.96*X4/SQRT(COUNT(ichd_yearly!I:I)-1)</f>
        <v>#REF!</v>
      </c>
      <c r="AM4" t="e">
        <f ca="1">1.96*Y4/SQRT(COUNT(ichd_yearly!J:J)-1)</f>
        <v>#REF!</v>
      </c>
      <c r="AN4" t="e">
        <f ca="1">1.96*Z4/SQRT(COUNT(ichd_yearly!K:K)-1)</f>
        <v>#REF!</v>
      </c>
      <c r="AO4" t="e">
        <f ca="1">1.96*AA4/SQRT(COUNT(ichd_yearly!L:L)-1)</f>
        <v>#REF!</v>
      </c>
      <c r="AP4" t="e">
        <f ca="1">1.96*AB4/SQRT(COUNT(ichd_yearly!M:M)-1)</f>
        <v>#REF!</v>
      </c>
      <c r="AQ4" t="e">
        <f ca="1">1.96*AC4/SQRT(COUNT(ichd_yearly!N:N)-1)</f>
        <v>#REF!</v>
      </c>
    </row>
    <row r="5" spans="1:43" x14ac:dyDescent="0.3">
      <c r="A5" t="s">
        <v>12</v>
      </c>
      <c r="B5" t="e">
        <f ca="1">AVERAGE(OFFSET(pd_yearly!B:B,1,0,COUNTA(pd_yearly!B:B)-1))/1000000</f>
        <v>#REF!</v>
      </c>
      <c r="C5" t="e">
        <f ca="1">AVERAGE(OFFSET(pd_yearly!C:C,1,0,COUNTA(pd_yearly!C:C)-1))/1000000</f>
        <v>#REF!</v>
      </c>
      <c r="D5" t="e">
        <f ca="1">AVERAGE(OFFSET(pd_yearly!D:D,1,0,COUNTA(pd_yearly!D:D)-1))/1000000</f>
        <v>#REF!</v>
      </c>
      <c r="E5" t="e">
        <f ca="1">AVERAGE(OFFSET(pd_yearly!E:E,1,0,COUNTA(pd_yearly!E:E)-1))/1000000</f>
        <v>#REF!</v>
      </c>
      <c r="F5" t="e">
        <f ca="1">AVERAGE(OFFSET(pd_yearly!F:F,1,0,COUNTA(pd_yearly!F:F)-1))/1000000</f>
        <v>#REF!</v>
      </c>
      <c r="G5" t="e">
        <f ca="1">AVERAGE(OFFSET(pd_yearly!G:G,1,0,COUNTA(pd_yearly!G:G)-1))/1000000</f>
        <v>#REF!</v>
      </c>
      <c r="H5" t="e">
        <f ca="1">AVERAGE(OFFSET(pd_yearly!H:H,1,0,COUNTA(pd_yearly!H:H)-1))/1000000</f>
        <v>#REF!</v>
      </c>
      <c r="I5" t="e">
        <f ca="1">AVERAGE(OFFSET(pd_yearly!I:I,1,0,COUNTA(pd_yearly!I:I)-1))/1000000</f>
        <v>#REF!</v>
      </c>
      <c r="J5" t="e">
        <f ca="1">AVERAGE(OFFSET(pd_yearly!J:J,1,0,COUNTA(pd_yearly!J:J)-1))/1000000</f>
        <v>#REF!</v>
      </c>
      <c r="K5" t="e">
        <f ca="1">AVERAGE(OFFSET(pd_yearly!K:K,1,0,COUNTA(pd_yearly!K:K)-1))/1000000</f>
        <v>#REF!</v>
      </c>
      <c r="L5" t="e">
        <f ca="1">AVERAGE(OFFSET(pd_yearly!L:L,1,0,COUNTA(pd_yearly!L:L)-1))/1000000</f>
        <v>#REF!</v>
      </c>
      <c r="M5" t="e">
        <f ca="1">AVERAGE(OFFSET(pd_yearly!M:M,1,0,COUNTA(pd_yearly!M:M)-1))/1000000</f>
        <v>#REF!</v>
      </c>
      <c r="N5" t="e">
        <f ca="1">AVERAGE(OFFSET(pd_yearly!N:N,1,0,COUNTA(pd_yearly!N:N)-1))/1000000</f>
        <v>#REF!</v>
      </c>
      <c r="P5" t="s">
        <v>12</v>
      </c>
      <c r="Q5" t="e" cm="1">
        <f t="array" aca="1" ref="Q5" ca="1">_xlfn.STDEV.S(OFFSET(pd_yearly!B:B,1,0,COUNTA(pd_yearly!B:B)-1)/1000000)</f>
        <v>#REF!</v>
      </c>
      <c r="R5" t="e" cm="1">
        <f t="array" aca="1" ref="R5" ca="1">_xlfn.STDEV.S(OFFSET(pd_yearly!C:C,1,0,COUNTA(pd_yearly!C:C)-1)/1000000)</f>
        <v>#REF!</v>
      </c>
      <c r="S5" t="e" cm="1">
        <f t="array" aca="1" ref="S5" ca="1">_xlfn.STDEV.S(OFFSET(pd_yearly!D:D,1,0,COUNTA(pd_yearly!D:D)-1)/1000000)</f>
        <v>#REF!</v>
      </c>
      <c r="T5" t="e" cm="1">
        <f t="array" aca="1" ref="T5" ca="1">_xlfn.STDEV.S(OFFSET(pd_yearly!E:E,1,0,COUNTA(pd_yearly!E:E)-1)/1000000)</f>
        <v>#REF!</v>
      </c>
      <c r="U5" t="e" cm="1">
        <f t="array" aca="1" ref="U5" ca="1">_xlfn.STDEV.S(OFFSET(pd_yearly!F:F,1,0,COUNTA(pd_yearly!F:F)-1)/1000000)</f>
        <v>#REF!</v>
      </c>
      <c r="V5" t="e" cm="1">
        <f t="array" aca="1" ref="V5" ca="1">_xlfn.STDEV.S(OFFSET(pd_yearly!G:G,1,0,COUNTA(pd_yearly!G:G)-1)/1000000)</f>
        <v>#REF!</v>
      </c>
      <c r="W5" t="e" cm="1">
        <f t="array" aca="1" ref="W5" ca="1">_xlfn.STDEV.S(OFFSET(pd_yearly!H:H,1,0,COUNTA(pd_yearly!H:H)-1)/1000000)</f>
        <v>#REF!</v>
      </c>
      <c r="X5" t="e" cm="1">
        <f t="array" aca="1" ref="X5" ca="1">_xlfn.STDEV.S(OFFSET(pd_yearly!I:I,1,0,COUNTA(pd_yearly!I:I)-1)/1000000)</f>
        <v>#REF!</v>
      </c>
      <c r="Y5" t="e" cm="1">
        <f t="array" aca="1" ref="Y5" ca="1">_xlfn.STDEV.S(OFFSET(pd_yearly!J:J,1,0,COUNTA(pd_yearly!J:J)-1)/1000000)</f>
        <v>#REF!</v>
      </c>
      <c r="Z5" t="e" cm="1">
        <f t="array" aca="1" ref="Z5" ca="1">_xlfn.STDEV.S(OFFSET(pd_yearly!K:K,1,0,COUNTA(pd_yearly!K:K)-1)/1000000)</f>
        <v>#REF!</v>
      </c>
      <c r="AA5" t="e" cm="1">
        <f t="array" aca="1" ref="AA5" ca="1">_xlfn.STDEV.S(OFFSET(pd_yearly!L:L,1,0,COUNTA(pd_yearly!L:L)-1)/1000000)</f>
        <v>#REF!</v>
      </c>
      <c r="AB5" t="e" cm="1">
        <f t="array" aca="1" ref="AB5" ca="1">_xlfn.STDEV.S(OFFSET(pd_yearly!M:M,1,0,COUNTA(pd_yearly!M:M)-1)/1000000)</f>
        <v>#REF!</v>
      </c>
      <c r="AC5" t="e" cm="1">
        <f t="array" aca="1" ref="AC5" ca="1">_xlfn.STDEV.S(OFFSET(pd_yearly!N:N,1,0,COUNTA(pd_yearly!N:N)-1)/1000000)</f>
        <v>#REF!</v>
      </c>
      <c r="AE5" t="e">
        <f ca="1">1.96*Q5/SQRT(COUNT(ichd_yearly!B:B)-1)</f>
        <v>#REF!</v>
      </c>
      <c r="AF5" t="e">
        <f ca="1">1.96*R5/SQRT(COUNT(ichd_yearly!C:C)-1)</f>
        <v>#REF!</v>
      </c>
      <c r="AG5" t="e">
        <f ca="1">1.96*S5/SQRT(COUNT(ichd_yearly!D:D)-1)</f>
        <v>#REF!</v>
      </c>
      <c r="AH5" t="e">
        <f ca="1">1.96*T5/SQRT(COUNT(ichd_yearly!E:E)-1)</f>
        <v>#REF!</v>
      </c>
      <c r="AI5" t="e">
        <f ca="1">1.96*U5/SQRT(COUNT(ichd_yearly!F:F)-1)</f>
        <v>#REF!</v>
      </c>
      <c r="AJ5" t="e">
        <f ca="1">1.96*V5/SQRT(COUNT(ichd_yearly!G:G)-1)</f>
        <v>#REF!</v>
      </c>
      <c r="AK5" t="e">
        <f ca="1">1.96*W5/SQRT(COUNT(ichd_yearly!H:H)-1)</f>
        <v>#REF!</v>
      </c>
      <c r="AL5" t="e">
        <f ca="1">1.96*X5/SQRT(COUNT(ichd_yearly!I:I)-1)</f>
        <v>#REF!</v>
      </c>
      <c r="AM5" t="e">
        <f ca="1">1.96*Y5/SQRT(COUNT(ichd_yearly!J:J)-1)</f>
        <v>#REF!</v>
      </c>
      <c r="AN5" t="e">
        <f ca="1">1.96*Z5/SQRT(COUNT(ichd_yearly!K:K)-1)</f>
        <v>#REF!</v>
      </c>
      <c r="AO5" t="e">
        <f ca="1">1.96*AA5/SQRT(COUNT(ichd_yearly!L:L)-1)</f>
        <v>#REF!</v>
      </c>
      <c r="AP5" t="e">
        <f ca="1">1.96*AB5/SQRT(COUNT(ichd_yearly!M:M)-1)</f>
        <v>#REF!</v>
      </c>
      <c r="AQ5" t="e">
        <f ca="1">1.96*AC5/SQRT(COUNT(ichd_yearly!N:N)-1)</f>
        <v>#REF!</v>
      </c>
    </row>
    <row r="6" spans="1:43" x14ac:dyDescent="0.3">
      <c r="A6" t="s">
        <v>49</v>
      </c>
      <c r="B6" t="e">
        <f ca="1">AVERAGE(OFFSET(transplant_yearly!B:B,1,0,COUNTA(transplant_yearly!B:B)-1))/1000000</f>
        <v>#REF!</v>
      </c>
      <c r="C6" t="e">
        <f ca="1">AVERAGE(OFFSET(transplant_yearly!C:C,1,0,COUNTA(transplant_yearly!C:C)-1))/1000000</f>
        <v>#REF!</v>
      </c>
      <c r="D6" t="e">
        <f ca="1">AVERAGE(OFFSET(transplant_yearly!D:D,1,0,COUNTA(transplant_yearly!D:D)-1))/1000000</f>
        <v>#REF!</v>
      </c>
      <c r="E6" t="e">
        <f ca="1">AVERAGE(OFFSET(transplant_yearly!E:E,1,0,COUNTA(transplant_yearly!E:E)-1))/1000000</f>
        <v>#REF!</v>
      </c>
      <c r="F6" t="e">
        <f ca="1">AVERAGE(OFFSET(transplant_yearly!F:F,1,0,COUNTA(transplant_yearly!F:F)-1))/1000000</f>
        <v>#REF!</v>
      </c>
      <c r="G6" t="e">
        <f ca="1">AVERAGE(OFFSET(transplant_yearly!G:G,1,0,COUNTA(transplant_yearly!G:G)-1))/1000000</f>
        <v>#REF!</v>
      </c>
      <c r="H6" t="e">
        <f ca="1">AVERAGE(OFFSET(transplant_yearly!H:H,1,0,COUNTA(transplant_yearly!H:H)-1))/1000000</f>
        <v>#REF!</v>
      </c>
      <c r="I6" t="e">
        <f ca="1">AVERAGE(OFFSET(transplant_yearly!I:I,1,0,COUNTA(transplant_yearly!I:I)-1))/1000000</f>
        <v>#REF!</v>
      </c>
      <c r="J6" t="e">
        <f ca="1">AVERAGE(OFFSET(transplant_yearly!J:J,1,0,COUNTA(transplant_yearly!J:J)-1))/1000000</f>
        <v>#REF!</v>
      </c>
      <c r="K6" t="e">
        <f ca="1">AVERAGE(OFFSET(transplant_yearly!K:K,1,0,COUNTA(transplant_yearly!K:K)-1))/1000000</f>
        <v>#REF!</v>
      </c>
      <c r="L6" t="e">
        <f ca="1">AVERAGE(OFFSET(transplant_yearly!L:L,1,0,COUNTA(transplant_yearly!L:L)-1))/1000000</f>
        <v>#REF!</v>
      </c>
      <c r="M6" t="e">
        <f ca="1">AVERAGE(OFFSET(transplant_yearly!M:M,1,0,COUNTA(transplant_yearly!M:M)-1))/1000000</f>
        <v>#REF!</v>
      </c>
      <c r="N6" t="e">
        <f ca="1">AVERAGE(OFFSET(transplant_yearly!N:N,1,0,COUNTA(transplant_yearly!N:N)-1))/1000000</f>
        <v>#REF!</v>
      </c>
      <c r="P6" t="s">
        <v>49</v>
      </c>
      <c r="Q6" t="e" cm="1">
        <f t="array" aca="1" ref="Q6" ca="1">_xlfn.STDEV.S(OFFSET(transplant_yearly!B:B,1,0,COUNTA(transplant_yearly!B:B)-1)/1000000)</f>
        <v>#REF!</v>
      </c>
      <c r="R6" t="e" cm="1">
        <f t="array" aca="1" ref="R6" ca="1">_xlfn.STDEV.S(OFFSET(transplant_yearly!C:C,1,0,COUNTA(transplant_yearly!C:C)-1)/1000000)</f>
        <v>#REF!</v>
      </c>
      <c r="S6" t="e" cm="1">
        <f t="array" aca="1" ref="S6" ca="1">_xlfn.STDEV.S(OFFSET(transplant_yearly!D:D,1,0,COUNTA(transplant_yearly!D:D)-1)/1000000)</f>
        <v>#REF!</v>
      </c>
      <c r="T6" t="e" cm="1">
        <f t="array" aca="1" ref="T6" ca="1">_xlfn.STDEV.S(OFFSET(transplant_yearly!E:E,1,0,COUNTA(transplant_yearly!E:E)-1)/1000000)</f>
        <v>#REF!</v>
      </c>
      <c r="U6" t="e" cm="1">
        <f t="array" aca="1" ref="U6" ca="1">_xlfn.STDEV.S(OFFSET(transplant_yearly!F:F,1,0,COUNTA(transplant_yearly!F:F)-1)/1000000)</f>
        <v>#REF!</v>
      </c>
      <c r="V6" t="e" cm="1">
        <f t="array" aca="1" ref="V6" ca="1">_xlfn.STDEV.S(OFFSET(transplant_yearly!G:G,1,0,COUNTA(transplant_yearly!G:G)-1)/1000000)</f>
        <v>#REF!</v>
      </c>
      <c r="W6" t="e" cm="1">
        <f t="array" aca="1" ref="W6" ca="1">_xlfn.STDEV.S(OFFSET(transplant_yearly!H:H,1,0,COUNTA(transplant_yearly!H:H)-1)/1000000)</f>
        <v>#REF!</v>
      </c>
      <c r="X6" t="e" cm="1">
        <f t="array" aca="1" ref="X6" ca="1">_xlfn.STDEV.S(OFFSET(transplant_yearly!I:I,1,0,COUNTA(transplant_yearly!I:I)-1)/1000000)</f>
        <v>#REF!</v>
      </c>
      <c r="Y6" t="e" cm="1">
        <f t="array" aca="1" ref="Y6" ca="1">_xlfn.STDEV.S(OFFSET(transplant_yearly!J:J,1,0,COUNTA(transplant_yearly!J:J)-1)/1000000)</f>
        <v>#REF!</v>
      </c>
      <c r="Z6" t="e" cm="1">
        <f t="array" aca="1" ref="Z6" ca="1">_xlfn.STDEV.S(OFFSET(transplant_yearly!K:K,1,0,COUNTA(transplant_yearly!K:K)-1)/1000000)</f>
        <v>#REF!</v>
      </c>
      <c r="AA6" t="e" cm="1">
        <f t="array" aca="1" ref="AA6" ca="1">_xlfn.STDEV.S(OFFSET(transplant_yearly!L:L,1,0,COUNTA(transplant_yearly!L:L)-1)/1000000)</f>
        <v>#REF!</v>
      </c>
      <c r="AB6" t="e" cm="1">
        <f t="array" aca="1" ref="AB6" ca="1">_xlfn.STDEV.S(OFFSET(transplant_yearly!M:M,1,0,COUNTA(transplant_yearly!M:M)-1)/1000000)</f>
        <v>#REF!</v>
      </c>
      <c r="AC6" t="e" cm="1">
        <f t="array" aca="1" ref="AC6" ca="1">_xlfn.STDEV.S(OFFSET(transplant_yearly!N:N,1,0,COUNTA(transplant_yearly!N:N)-1)/1000000)</f>
        <v>#REF!</v>
      </c>
      <c r="AE6" t="e">
        <f ca="1">1.96*Q6/SQRT(COUNT(ichd_yearly!B:B)-1)</f>
        <v>#REF!</v>
      </c>
      <c r="AF6" t="e">
        <f ca="1">1.96*R6/SQRT(COUNT(ichd_yearly!C:C)-1)</f>
        <v>#REF!</v>
      </c>
      <c r="AG6" t="e">
        <f ca="1">1.96*S6/SQRT(COUNT(ichd_yearly!D:D)-1)</f>
        <v>#REF!</v>
      </c>
      <c r="AH6" t="e">
        <f ca="1">1.96*T6/SQRT(COUNT(ichd_yearly!E:E)-1)</f>
        <v>#REF!</v>
      </c>
      <c r="AI6" t="e">
        <f ca="1">1.96*U6/SQRT(COUNT(ichd_yearly!F:F)-1)</f>
        <v>#REF!</v>
      </c>
      <c r="AJ6" t="e">
        <f ca="1">1.96*V6/SQRT(COUNT(ichd_yearly!G:G)-1)</f>
        <v>#REF!</v>
      </c>
      <c r="AK6" t="e">
        <f ca="1">1.96*W6/SQRT(COUNT(ichd_yearly!H:H)-1)</f>
        <v>#REF!</v>
      </c>
      <c r="AL6" t="e">
        <f ca="1">1.96*X6/SQRT(COUNT(ichd_yearly!I:I)-1)</f>
        <v>#REF!</v>
      </c>
      <c r="AM6" t="e">
        <f ca="1">1.96*Y6/SQRT(COUNT(ichd_yearly!J:J)-1)</f>
        <v>#REF!</v>
      </c>
      <c r="AN6" t="e">
        <f ca="1">1.96*Z6/SQRT(COUNT(ichd_yearly!K:K)-1)</f>
        <v>#REF!</v>
      </c>
      <c r="AO6" t="e">
        <f ca="1">1.96*AA6/SQRT(COUNT(ichd_yearly!L:L)-1)</f>
        <v>#REF!</v>
      </c>
      <c r="AP6" t="e">
        <f ca="1">1.96*AB6/SQRT(COUNT(ichd_yearly!M:M)-1)</f>
        <v>#REF!</v>
      </c>
      <c r="AQ6" t="e">
        <f ca="1">1.96*AC6/SQRT(COUNT(ichd_yearly!N:N)-1)</f>
        <v>#REF!</v>
      </c>
    </row>
    <row r="8" spans="1:43" x14ac:dyDescent="0.3">
      <c r="A8" t="s">
        <v>51</v>
      </c>
    </row>
    <row r="9" spans="1:43" x14ac:dyDescent="0.3">
      <c r="A9" t="s">
        <v>33</v>
      </c>
      <c r="B9" t="e">
        <f ca="1">SUM(B10:B13)</f>
        <v>#REF!</v>
      </c>
      <c r="C9" t="e">
        <f t="shared" ref="C9" ca="1" si="1">SUM(C10:C13)</f>
        <v>#REF!</v>
      </c>
      <c r="D9" t="e">
        <f t="shared" ref="D9" ca="1" si="2">SUM(D10:D13)</f>
        <v>#REF!</v>
      </c>
      <c r="E9" t="e">
        <f t="shared" ref="E9" ca="1" si="3">SUM(E10:E13)</f>
        <v>#REF!</v>
      </c>
      <c r="F9" t="e">
        <f t="shared" ref="F9" ca="1" si="4">SUM(F10:F13)</f>
        <v>#REF!</v>
      </c>
      <c r="G9" t="e">
        <f t="shared" ref="G9" ca="1" si="5">SUM(G10:G13)</f>
        <v>#REF!</v>
      </c>
      <c r="H9" t="e">
        <f t="shared" ref="H9" ca="1" si="6">SUM(H10:H13)</f>
        <v>#REF!</v>
      </c>
      <c r="I9" t="e">
        <f t="shared" ref="I9" ca="1" si="7">SUM(I10:I13)</f>
        <v>#REF!</v>
      </c>
      <c r="J9" t="e">
        <f t="shared" ref="J9" ca="1" si="8">SUM(J10:J13)</f>
        <v>#REF!</v>
      </c>
      <c r="K9" t="e">
        <f t="shared" ref="K9" ca="1" si="9">SUM(K10:K13)</f>
        <v>#REF!</v>
      </c>
      <c r="L9" t="e">
        <f t="shared" ref="L9" ca="1" si="10">SUM(L10:L13)</f>
        <v>#REF!</v>
      </c>
      <c r="M9" t="e">
        <f t="shared" ref="M9" ca="1" si="11">SUM(M10:M13)</f>
        <v>#REF!</v>
      </c>
      <c r="N9" t="e">
        <f t="shared" ref="N9" ca="1" si="12">SUM(N10:N13)</f>
        <v>#REF!</v>
      </c>
    </row>
    <row r="10" spans="1:43" x14ac:dyDescent="0.3">
      <c r="A10" t="s">
        <v>10</v>
      </c>
      <c r="B10" t="e">
        <f ca="1">B3-AE3</f>
        <v>#REF!</v>
      </c>
      <c r="C10" t="e">
        <f t="shared" ref="C10:M10" ca="1" si="13">C3-AF3</f>
        <v>#REF!</v>
      </c>
      <c r="D10" t="e">
        <f t="shared" ca="1" si="13"/>
        <v>#REF!</v>
      </c>
      <c r="E10" t="e">
        <f t="shared" ca="1" si="13"/>
        <v>#REF!</v>
      </c>
      <c r="F10" t="e">
        <f t="shared" ca="1" si="13"/>
        <v>#REF!</v>
      </c>
      <c r="G10" t="e">
        <f t="shared" ca="1" si="13"/>
        <v>#REF!</v>
      </c>
      <c r="H10" t="e">
        <f t="shared" ca="1" si="13"/>
        <v>#REF!</v>
      </c>
      <c r="I10" t="e">
        <f t="shared" ca="1" si="13"/>
        <v>#REF!</v>
      </c>
      <c r="J10" t="e">
        <f t="shared" ca="1" si="13"/>
        <v>#REF!</v>
      </c>
      <c r="K10" t="e">
        <f t="shared" ca="1" si="13"/>
        <v>#REF!</v>
      </c>
      <c r="L10" t="e">
        <f t="shared" ca="1" si="13"/>
        <v>#REF!</v>
      </c>
      <c r="M10" t="e">
        <f t="shared" ca="1" si="13"/>
        <v>#REF!</v>
      </c>
      <c r="N10" t="e">
        <f ca="1">N3-AQ3</f>
        <v>#REF!</v>
      </c>
    </row>
    <row r="11" spans="1:43" x14ac:dyDescent="0.3">
      <c r="A11" t="s">
        <v>11</v>
      </c>
      <c r="B11" t="e">
        <f t="shared" ref="B11:B12" ca="1" si="14">B4-AE4</f>
        <v>#REF!</v>
      </c>
      <c r="C11" t="e">
        <f t="shared" ref="C11:C12" ca="1" si="15">C4-AF4</f>
        <v>#REF!</v>
      </c>
      <c r="D11" t="e">
        <f t="shared" ref="D11:D12" ca="1" si="16">D4-AG4</f>
        <v>#REF!</v>
      </c>
      <c r="E11" t="e">
        <f t="shared" ref="E11:E12" ca="1" si="17">E4-AH4</f>
        <v>#REF!</v>
      </c>
      <c r="F11" t="e">
        <f t="shared" ref="F11:F12" ca="1" si="18">F4-AI4</f>
        <v>#REF!</v>
      </c>
      <c r="G11" t="e">
        <f t="shared" ref="G11:G12" ca="1" si="19">G4-AJ4</f>
        <v>#REF!</v>
      </c>
      <c r="H11" t="e">
        <f t="shared" ref="H11:H12" ca="1" si="20">H4-AK4</f>
        <v>#REF!</v>
      </c>
      <c r="I11" t="e">
        <f t="shared" ref="I11:I12" ca="1" si="21">I4-AL4</f>
        <v>#REF!</v>
      </c>
      <c r="J11" t="e">
        <f t="shared" ref="J11:J12" ca="1" si="22">J4-AM4</f>
        <v>#REF!</v>
      </c>
      <c r="K11" t="e">
        <f t="shared" ref="K11:K12" ca="1" si="23">K4-AN4</f>
        <v>#REF!</v>
      </c>
      <c r="L11" t="e">
        <f t="shared" ref="L11:L12" ca="1" si="24">L4-AO4</f>
        <v>#REF!</v>
      </c>
      <c r="M11" t="e">
        <f t="shared" ref="M11:N12" ca="1" si="25">M4-AP4</f>
        <v>#REF!</v>
      </c>
      <c r="N11" t="e">
        <f t="shared" ca="1" si="25"/>
        <v>#REF!</v>
      </c>
    </row>
    <row r="12" spans="1:43" x14ac:dyDescent="0.3">
      <c r="A12" t="s">
        <v>12</v>
      </c>
      <c r="B12" t="e">
        <f t="shared" ca="1" si="14"/>
        <v>#REF!</v>
      </c>
      <c r="C12" t="e">
        <f t="shared" ca="1" si="15"/>
        <v>#REF!</v>
      </c>
      <c r="D12" t="e">
        <f t="shared" ca="1" si="16"/>
        <v>#REF!</v>
      </c>
      <c r="E12" t="e">
        <f t="shared" ca="1" si="17"/>
        <v>#REF!</v>
      </c>
      <c r="F12" t="e">
        <f t="shared" ca="1" si="18"/>
        <v>#REF!</v>
      </c>
      <c r="G12" t="e">
        <f t="shared" ca="1" si="19"/>
        <v>#REF!</v>
      </c>
      <c r="H12" t="e">
        <f t="shared" ca="1" si="20"/>
        <v>#REF!</v>
      </c>
      <c r="I12" t="e">
        <f t="shared" ca="1" si="21"/>
        <v>#REF!</v>
      </c>
      <c r="J12" t="e">
        <f t="shared" ca="1" si="22"/>
        <v>#REF!</v>
      </c>
      <c r="K12" t="e">
        <f t="shared" ca="1" si="23"/>
        <v>#REF!</v>
      </c>
      <c r="L12" t="e">
        <f t="shared" ca="1" si="24"/>
        <v>#REF!</v>
      </c>
      <c r="M12" t="e">
        <f t="shared" ca="1" si="25"/>
        <v>#REF!</v>
      </c>
      <c r="N12" t="e">
        <f t="shared" ref="N12" ca="1" si="26">N5-AQ5</f>
        <v>#REF!</v>
      </c>
    </row>
    <row r="13" spans="1:43" x14ac:dyDescent="0.3">
      <c r="A13" t="s">
        <v>49</v>
      </c>
      <c r="B13" t="e">
        <f t="shared" ref="B13" ca="1" si="27">B6-AE6</f>
        <v>#REF!</v>
      </c>
      <c r="C13" t="e">
        <f t="shared" ref="C13" ca="1" si="28">C6-AF6</f>
        <v>#REF!</v>
      </c>
      <c r="D13" t="e">
        <f t="shared" ref="D13" ca="1" si="29">D6-AG6</f>
        <v>#REF!</v>
      </c>
      <c r="E13" t="e">
        <f t="shared" ref="E13" ca="1" si="30">E6-AH6</f>
        <v>#REF!</v>
      </c>
      <c r="F13" t="e">
        <f t="shared" ref="F13" ca="1" si="31">F6-AI6</f>
        <v>#REF!</v>
      </c>
      <c r="G13" t="e">
        <f t="shared" ref="G13" ca="1" si="32">G6-AJ6</f>
        <v>#REF!</v>
      </c>
      <c r="H13" t="e">
        <f t="shared" ref="H13" ca="1" si="33">H6-AK6</f>
        <v>#REF!</v>
      </c>
      <c r="I13" t="e">
        <f t="shared" ref="I13" ca="1" si="34">I6-AL6</f>
        <v>#REF!</v>
      </c>
      <c r="J13" t="e">
        <f t="shared" ref="J13" ca="1" si="35">J6-AM6</f>
        <v>#REF!</v>
      </c>
      <c r="K13" t="e">
        <f t="shared" ref="K13" ca="1" si="36">K6-AN6</f>
        <v>#REF!</v>
      </c>
      <c r="L13" t="e">
        <f t="shared" ref="L13" ca="1" si="37">L6-AO6</f>
        <v>#REF!</v>
      </c>
      <c r="M13" t="e">
        <f t="shared" ref="M13" ca="1" si="38">M6-AP6</f>
        <v>#REF!</v>
      </c>
      <c r="N13" t="e">
        <f t="shared" ref="N13" ca="1" si="39">N6-AQ6</f>
        <v>#REF!</v>
      </c>
    </row>
    <row r="15" spans="1:43" x14ac:dyDescent="0.3">
      <c r="A15" t="s">
        <v>52</v>
      </c>
    </row>
    <row r="16" spans="1:43" x14ac:dyDescent="0.3">
      <c r="A16" t="s">
        <v>33</v>
      </c>
      <c r="B16" t="e">
        <f ca="1">SUM(B17:B20)</f>
        <v>#REF!</v>
      </c>
      <c r="C16" t="e">
        <f t="shared" ref="C16:N16" ca="1" si="40">SUM(C17:C20)</f>
        <v>#REF!</v>
      </c>
      <c r="D16" t="e">
        <f t="shared" ca="1" si="40"/>
        <v>#REF!</v>
      </c>
      <c r="E16" t="e">
        <f t="shared" ca="1" si="40"/>
        <v>#REF!</v>
      </c>
      <c r="F16" t="e">
        <f t="shared" ca="1" si="40"/>
        <v>#REF!</v>
      </c>
      <c r="G16" t="e">
        <f t="shared" ca="1" si="40"/>
        <v>#REF!</v>
      </c>
      <c r="H16" t="e">
        <f t="shared" ca="1" si="40"/>
        <v>#REF!</v>
      </c>
      <c r="I16" t="e">
        <f t="shared" ca="1" si="40"/>
        <v>#REF!</v>
      </c>
      <c r="J16" t="e">
        <f t="shared" ca="1" si="40"/>
        <v>#REF!</v>
      </c>
      <c r="K16" t="e">
        <f t="shared" ca="1" si="40"/>
        <v>#REF!</v>
      </c>
      <c r="L16" t="e">
        <f t="shared" ca="1" si="40"/>
        <v>#REF!</v>
      </c>
      <c r="M16" t="e">
        <f t="shared" ca="1" si="40"/>
        <v>#REF!</v>
      </c>
      <c r="N16" t="e">
        <f t="shared" ca="1" si="40"/>
        <v>#REF!</v>
      </c>
    </row>
    <row r="17" spans="1:14" x14ac:dyDescent="0.3">
      <c r="A17" t="s">
        <v>10</v>
      </c>
      <c r="B17" t="e">
        <f ca="1">B3+AE3</f>
        <v>#REF!</v>
      </c>
      <c r="C17" t="e">
        <f t="shared" ref="C17:N17" ca="1" si="41">C3+AF3</f>
        <v>#REF!</v>
      </c>
      <c r="D17" t="e">
        <f t="shared" ca="1" si="41"/>
        <v>#REF!</v>
      </c>
      <c r="E17" t="e">
        <f t="shared" ca="1" si="41"/>
        <v>#REF!</v>
      </c>
      <c r="F17" t="e">
        <f t="shared" ca="1" si="41"/>
        <v>#REF!</v>
      </c>
      <c r="G17" t="e">
        <f t="shared" ca="1" si="41"/>
        <v>#REF!</v>
      </c>
      <c r="H17" t="e">
        <f t="shared" ca="1" si="41"/>
        <v>#REF!</v>
      </c>
      <c r="I17" t="e">
        <f t="shared" ca="1" si="41"/>
        <v>#REF!</v>
      </c>
      <c r="J17" t="e">
        <f t="shared" ca="1" si="41"/>
        <v>#REF!</v>
      </c>
      <c r="K17" t="e">
        <f t="shared" ca="1" si="41"/>
        <v>#REF!</v>
      </c>
      <c r="L17" t="e">
        <f t="shared" ca="1" si="41"/>
        <v>#REF!</v>
      </c>
      <c r="M17" t="e">
        <f t="shared" ca="1" si="41"/>
        <v>#REF!</v>
      </c>
      <c r="N17" t="e">
        <f t="shared" ca="1" si="41"/>
        <v>#REF!</v>
      </c>
    </row>
    <row r="18" spans="1:14" x14ac:dyDescent="0.3">
      <c r="A18" t="s">
        <v>11</v>
      </c>
      <c r="B18" t="e">
        <f t="shared" ref="B18:B20" ca="1" si="42">B4+AE4</f>
        <v>#REF!</v>
      </c>
      <c r="C18" t="e">
        <f t="shared" ref="C18:C20" ca="1" si="43">C4+AF4</f>
        <v>#REF!</v>
      </c>
      <c r="D18" t="e">
        <f t="shared" ref="D18:D20" ca="1" si="44">D4+AG4</f>
        <v>#REF!</v>
      </c>
      <c r="E18" t="e">
        <f t="shared" ref="E18:E20" ca="1" si="45">E4+AH4</f>
        <v>#REF!</v>
      </c>
      <c r="F18" t="e">
        <f t="shared" ref="F18:F20" ca="1" si="46">F4+AI4</f>
        <v>#REF!</v>
      </c>
      <c r="G18" t="e">
        <f t="shared" ref="G18:G20" ca="1" si="47">G4+AJ4</f>
        <v>#REF!</v>
      </c>
      <c r="H18" t="e">
        <f t="shared" ref="H18:H20" ca="1" si="48">H4+AK4</f>
        <v>#REF!</v>
      </c>
      <c r="I18" t="e">
        <f t="shared" ref="I18:I20" ca="1" si="49">I4+AL4</f>
        <v>#REF!</v>
      </c>
      <c r="J18" t="e">
        <f t="shared" ref="J18:J20" ca="1" si="50">J4+AM4</f>
        <v>#REF!</v>
      </c>
      <c r="K18" t="e">
        <f t="shared" ref="K18:K20" ca="1" si="51">K4+AN4</f>
        <v>#REF!</v>
      </c>
      <c r="L18" t="e">
        <f t="shared" ref="L18:L20" ca="1" si="52">L4+AO4</f>
        <v>#REF!</v>
      </c>
      <c r="M18" t="e">
        <f t="shared" ref="M18:M20" ca="1" si="53">M4+AP4</f>
        <v>#REF!</v>
      </c>
      <c r="N18" t="e">
        <f t="shared" ref="N18:N20" ca="1" si="54">N4+AQ4</f>
        <v>#REF!</v>
      </c>
    </row>
    <row r="19" spans="1:14" x14ac:dyDescent="0.3">
      <c r="A19" t="s">
        <v>12</v>
      </c>
      <c r="B19" t="e">
        <f t="shared" ca="1" si="42"/>
        <v>#REF!</v>
      </c>
      <c r="C19" t="e">
        <f t="shared" ca="1" si="43"/>
        <v>#REF!</v>
      </c>
      <c r="D19" t="e">
        <f t="shared" ca="1" si="44"/>
        <v>#REF!</v>
      </c>
      <c r="E19" t="e">
        <f t="shared" ca="1" si="45"/>
        <v>#REF!</v>
      </c>
      <c r="F19" t="e">
        <f t="shared" ca="1" si="46"/>
        <v>#REF!</v>
      </c>
      <c r="G19" t="e">
        <f t="shared" ca="1" si="47"/>
        <v>#REF!</v>
      </c>
      <c r="H19" t="e">
        <f t="shared" ca="1" si="48"/>
        <v>#REF!</v>
      </c>
      <c r="I19" t="e">
        <f t="shared" ca="1" si="49"/>
        <v>#REF!</v>
      </c>
      <c r="J19" t="e">
        <f t="shared" ca="1" si="50"/>
        <v>#REF!</v>
      </c>
      <c r="K19" t="e">
        <f t="shared" ca="1" si="51"/>
        <v>#REF!</v>
      </c>
      <c r="L19" t="e">
        <f t="shared" ca="1" si="52"/>
        <v>#REF!</v>
      </c>
      <c r="M19" t="e">
        <f t="shared" ca="1" si="53"/>
        <v>#REF!</v>
      </c>
      <c r="N19" t="e">
        <f t="shared" ca="1" si="54"/>
        <v>#REF!</v>
      </c>
    </row>
    <row r="20" spans="1:14" x14ac:dyDescent="0.3">
      <c r="A20" t="s">
        <v>49</v>
      </c>
      <c r="B20" t="e">
        <f t="shared" ca="1" si="42"/>
        <v>#REF!</v>
      </c>
      <c r="C20" t="e">
        <f t="shared" ca="1" si="43"/>
        <v>#REF!</v>
      </c>
      <c r="D20" t="e">
        <f t="shared" ca="1" si="44"/>
        <v>#REF!</v>
      </c>
      <c r="E20" t="e">
        <f t="shared" ca="1" si="45"/>
        <v>#REF!</v>
      </c>
      <c r="F20" t="e">
        <f t="shared" ca="1" si="46"/>
        <v>#REF!</v>
      </c>
      <c r="G20" t="e">
        <f t="shared" ca="1" si="47"/>
        <v>#REF!</v>
      </c>
      <c r="H20" t="e">
        <f t="shared" ca="1" si="48"/>
        <v>#REF!</v>
      </c>
      <c r="I20" t="e">
        <f t="shared" ca="1" si="49"/>
        <v>#REF!</v>
      </c>
      <c r="J20" t="e">
        <f t="shared" ca="1" si="50"/>
        <v>#REF!</v>
      </c>
      <c r="K20" t="e">
        <f t="shared" ca="1" si="51"/>
        <v>#REF!</v>
      </c>
      <c r="L20" t="e">
        <f t="shared" ca="1" si="52"/>
        <v>#REF!</v>
      </c>
      <c r="M20" t="e">
        <f t="shared" ca="1" si="53"/>
        <v>#REF!</v>
      </c>
      <c r="N20" t="e">
        <f t="shared" ca="1" si="54"/>
        <v>#REF!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1"/>
  <sheetViews>
    <sheetView workbookViewId="0">
      <selection activeCell="K32" sqref="K32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1"/>
  <sheetViews>
    <sheetView workbookViewId="0"/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  <c r="B2">
        <v>0</v>
      </c>
      <c r="C2">
        <v>82</v>
      </c>
      <c r="D2">
        <v>123</v>
      </c>
      <c r="E2">
        <v>87</v>
      </c>
      <c r="F2">
        <v>94</v>
      </c>
      <c r="G2">
        <v>101</v>
      </c>
      <c r="H2">
        <v>101</v>
      </c>
      <c r="I2">
        <v>123</v>
      </c>
      <c r="J2">
        <v>112</v>
      </c>
      <c r="K2">
        <v>115</v>
      </c>
      <c r="L2">
        <v>120</v>
      </c>
      <c r="M2">
        <v>103</v>
      </c>
      <c r="N2">
        <v>105</v>
      </c>
      <c r="O2">
        <v>126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">
      <c r="A3" s="24">
        <v>2</v>
      </c>
      <c r="B3">
        <v>0</v>
      </c>
      <c r="C3">
        <v>100</v>
      </c>
      <c r="D3">
        <v>98</v>
      </c>
      <c r="E3">
        <v>102</v>
      </c>
      <c r="F3">
        <v>106</v>
      </c>
      <c r="G3">
        <v>115</v>
      </c>
      <c r="H3">
        <v>103</v>
      </c>
      <c r="I3">
        <v>111</v>
      </c>
      <c r="J3">
        <v>100</v>
      </c>
      <c r="K3">
        <v>92</v>
      </c>
      <c r="L3">
        <v>104</v>
      </c>
      <c r="M3">
        <v>111</v>
      </c>
      <c r="N3">
        <v>98</v>
      </c>
      <c r="O3">
        <v>109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">
      <c r="A4" s="24">
        <v>3</v>
      </c>
      <c r="B4">
        <v>0</v>
      </c>
      <c r="C4">
        <v>90</v>
      </c>
      <c r="D4">
        <v>104</v>
      </c>
      <c r="E4">
        <v>92</v>
      </c>
      <c r="F4">
        <v>86</v>
      </c>
      <c r="G4">
        <v>97</v>
      </c>
      <c r="H4">
        <v>111</v>
      </c>
      <c r="I4">
        <v>95</v>
      </c>
      <c r="J4">
        <v>141</v>
      </c>
      <c r="K4">
        <v>97</v>
      </c>
      <c r="L4">
        <v>102</v>
      </c>
      <c r="M4">
        <v>104</v>
      </c>
      <c r="N4">
        <v>108</v>
      </c>
      <c r="O4">
        <v>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">
      <c r="A5" s="24">
        <v>4</v>
      </c>
      <c r="B5">
        <v>0</v>
      </c>
      <c r="C5">
        <v>114</v>
      </c>
      <c r="D5">
        <v>103</v>
      </c>
      <c r="E5">
        <v>112</v>
      </c>
      <c r="F5">
        <v>101</v>
      </c>
      <c r="G5">
        <v>121</v>
      </c>
      <c r="H5">
        <v>101</v>
      </c>
      <c r="I5">
        <v>107</v>
      </c>
      <c r="J5">
        <v>118</v>
      </c>
      <c r="K5">
        <v>106</v>
      </c>
      <c r="L5">
        <v>117</v>
      </c>
      <c r="M5">
        <v>105</v>
      </c>
      <c r="N5">
        <v>107</v>
      </c>
      <c r="O5">
        <v>94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">
      <c r="A6" s="24">
        <v>5</v>
      </c>
      <c r="B6">
        <v>0</v>
      </c>
      <c r="C6">
        <v>99</v>
      </c>
      <c r="D6">
        <v>98</v>
      </c>
      <c r="E6">
        <v>110</v>
      </c>
      <c r="F6">
        <v>85</v>
      </c>
      <c r="G6">
        <v>131</v>
      </c>
      <c r="H6">
        <v>112</v>
      </c>
      <c r="I6">
        <v>105</v>
      </c>
      <c r="J6">
        <v>121</v>
      </c>
      <c r="K6">
        <v>88</v>
      </c>
      <c r="L6">
        <v>108</v>
      </c>
      <c r="M6">
        <v>101</v>
      </c>
      <c r="N6">
        <v>108</v>
      </c>
      <c r="O6">
        <v>126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">
      <c r="A7" s="24">
        <v>6</v>
      </c>
      <c r="B7">
        <v>0</v>
      </c>
      <c r="C7">
        <v>89</v>
      </c>
      <c r="D7">
        <v>101</v>
      </c>
      <c r="E7">
        <v>94</v>
      </c>
      <c r="F7">
        <v>84</v>
      </c>
      <c r="G7">
        <v>107</v>
      </c>
      <c r="H7">
        <v>112</v>
      </c>
      <c r="I7">
        <v>111</v>
      </c>
      <c r="J7">
        <v>118</v>
      </c>
      <c r="K7">
        <v>93</v>
      </c>
      <c r="L7">
        <v>87</v>
      </c>
      <c r="M7">
        <v>105</v>
      </c>
      <c r="N7">
        <v>91</v>
      </c>
      <c r="O7">
        <v>143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">
      <c r="A8" s="24">
        <v>7</v>
      </c>
      <c r="B8">
        <v>0</v>
      </c>
      <c r="C8">
        <v>90</v>
      </c>
      <c r="D8">
        <v>111</v>
      </c>
      <c r="E8">
        <v>105</v>
      </c>
      <c r="F8">
        <v>109</v>
      </c>
      <c r="G8">
        <v>103</v>
      </c>
      <c r="H8">
        <v>128</v>
      </c>
      <c r="I8">
        <v>125</v>
      </c>
      <c r="J8">
        <v>118</v>
      </c>
      <c r="K8">
        <v>112</v>
      </c>
      <c r="L8">
        <v>104</v>
      </c>
      <c r="M8">
        <v>95</v>
      </c>
      <c r="N8">
        <v>114</v>
      </c>
      <c r="O8">
        <v>95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">
      <c r="A9" s="24">
        <v>8</v>
      </c>
      <c r="B9">
        <v>0</v>
      </c>
      <c r="C9">
        <v>106</v>
      </c>
      <c r="D9">
        <v>108</v>
      </c>
      <c r="E9">
        <v>78</v>
      </c>
      <c r="F9">
        <v>82</v>
      </c>
      <c r="G9">
        <v>87</v>
      </c>
      <c r="H9">
        <v>103</v>
      </c>
      <c r="I9">
        <v>83</v>
      </c>
      <c r="J9">
        <v>102</v>
      </c>
      <c r="K9">
        <v>91</v>
      </c>
      <c r="L9">
        <v>109</v>
      </c>
      <c r="M9">
        <v>84</v>
      </c>
      <c r="N9">
        <v>101</v>
      </c>
      <c r="O9">
        <v>109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">
      <c r="A10" s="24">
        <v>9</v>
      </c>
      <c r="B10">
        <v>0</v>
      </c>
      <c r="C10">
        <v>84</v>
      </c>
      <c r="D10">
        <v>114</v>
      </c>
      <c r="E10">
        <v>90</v>
      </c>
      <c r="F10">
        <v>97</v>
      </c>
      <c r="G10">
        <v>125</v>
      </c>
      <c r="H10">
        <v>103</v>
      </c>
      <c r="I10">
        <v>105</v>
      </c>
      <c r="J10">
        <v>123</v>
      </c>
      <c r="K10">
        <v>99</v>
      </c>
      <c r="L10">
        <v>105</v>
      </c>
      <c r="M10">
        <v>89</v>
      </c>
      <c r="N10">
        <v>104</v>
      </c>
      <c r="O10">
        <v>107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">
      <c r="A11" s="24">
        <v>10</v>
      </c>
      <c r="B11">
        <v>0</v>
      </c>
      <c r="C11">
        <v>91</v>
      </c>
      <c r="D11">
        <v>93</v>
      </c>
      <c r="E11">
        <v>89</v>
      </c>
      <c r="F11">
        <v>102</v>
      </c>
      <c r="G11">
        <v>117</v>
      </c>
      <c r="H11">
        <v>110</v>
      </c>
      <c r="I11">
        <v>108</v>
      </c>
      <c r="J11">
        <v>117</v>
      </c>
      <c r="K11">
        <v>121</v>
      </c>
      <c r="L11">
        <v>123</v>
      </c>
      <c r="M11">
        <v>86</v>
      </c>
      <c r="N11">
        <v>105</v>
      </c>
      <c r="O11">
        <v>103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"/>
  <sheetViews>
    <sheetView workbookViewId="0">
      <selection activeCell="B2" sqref="B2:AC17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1"/>
  <sheetViews>
    <sheetView workbookViewId="0">
      <selection activeCell="B2" sqref="B2:AC17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1"/>
  <sheetViews>
    <sheetView workbookViewId="0">
      <selection activeCell="B2" sqref="B2:AC17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1"/>
  <sheetViews>
    <sheetView workbookViewId="0">
      <selection activeCell="B2" sqref="B2:AC17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9E0D1-D3DB-4D5F-9BF5-E67FF67E83DC}">
  <dimension ref="A1:AC11"/>
  <sheetViews>
    <sheetView workbookViewId="0">
      <selection activeCell="T10" sqref="T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  <c r="B2">
        <f>SUM(mortality_cadaver!B2,mortality_hhd!B2,mortality_ichd!B2,mortality_live!B2,mortality_pd!B2)</f>
        <v>0</v>
      </c>
      <c r="C2">
        <f>SUM(mortality_cadaver!C2,mortality_hhd!C2,mortality_ichd!C2,mortality_live!C2,mortality_pd!C2)</f>
        <v>0</v>
      </c>
      <c r="D2">
        <f>SUM(mortality_cadaver!D2,mortality_hhd!D2,mortality_ichd!D2,mortality_live!D2,mortality_pd!D2)</f>
        <v>0</v>
      </c>
      <c r="E2">
        <f>SUM(mortality_cadaver!E2,mortality_hhd!E2,mortality_ichd!E2,mortality_live!E2,mortality_pd!E2)</f>
        <v>0</v>
      </c>
      <c r="F2">
        <f>SUM(mortality_cadaver!F2,mortality_hhd!F2,mortality_ichd!F2,mortality_live!F2,mortality_pd!F2)</f>
        <v>0</v>
      </c>
      <c r="G2">
        <f>SUM(mortality_cadaver!G2,mortality_hhd!G2,mortality_ichd!G2,mortality_live!G2,mortality_pd!G2)</f>
        <v>0</v>
      </c>
      <c r="H2">
        <f>SUM(mortality_cadaver!H2,mortality_hhd!H2,mortality_ichd!H2,mortality_live!H2,mortality_pd!H2)</f>
        <v>0</v>
      </c>
      <c r="I2">
        <f>SUM(mortality_cadaver!I2,mortality_hhd!I2,mortality_ichd!I2,mortality_live!I2,mortality_pd!I2)</f>
        <v>0</v>
      </c>
      <c r="J2">
        <f>SUM(mortality_cadaver!J2,mortality_hhd!J2,mortality_ichd!J2,mortality_live!J2,mortality_pd!J2)</f>
        <v>0</v>
      </c>
      <c r="K2">
        <f>SUM(mortality_cadaver!K2,mortality_hhd!K2,mortality_ichd!K2,mortality_live!K2,mortality_pd!K2)</f>
        <v>0</v>
      </c>
      <c r="L2">
        <f>SUM(mortality_cadaver!L2,mortality_hhd!L2,mortality_ichd!L2,mortality_live!L2,mortality_pd!L2)</f>
        <v>0</v>
      </c>
      <c r="M2">
        <f>SUM(mortality_cadaver!M2,mortality_hhd!M2,mortality_ichd!M2,mortality_live!M2,mortality_pd!M2)</f>
        <v>0</v>
      </c>
      <c r="N2">
        <f>SUM(mortality_cadaver!N2,mortality_hhd!N2,mortality_ichd!N2,mortality_live!N2,mortality_pd!N2)</f>
        <v>0</v>
      </c>
      <c r="O2">
        <f>SUM(mortality_cadaver!O2,mortality_hhd!O2,mortality_ichd!O2,mortality_live!O2,mortality_pd!O2)</f>
        <v>0</v>
      </c>
      <c r="P2">
        <f>SUM(mortality_cadaver!P2,mortality_hhd!P2,mortality_ichd!P2,mortality_live!P2,mortality_pd!P2)</f>
        <v>0</v>
      </c>
      <c r="Q2">
        <f>SUM(mortality_cadaver!Q2,mortality_hhd!Q2,mortality_ichd!Q2,mortality_live!Q2,mortality_pd!Q2)</f>
        <v>0</v>
      </c>
      <c r="R2">
        <f>SUM(mortality_cadaver!R2,mortality_hhd!R2,mortality_ichd!R2,mortality_live!R2,mortality_pd!R2)</f>
        <v>0</v>
      </c>
      <c r="S2">
        <f>SUM(mortality_cadaver!S2,mortality_hhd!S2,mortality_ichd!S2,mortality_live!S2,mortality_pd!S2)</f>
        <v>0</v>
      </c>
      <c r="T2">
        <f>SUM(mortality_cadaver!T2,mortality_hhd!T2,mortality_ichd!T2,mortality_live!T2,mortality_pd!T2)</f>
        <v>0</v>
      </c>
      <c r="U2">
        <f>SUM(mortality_cadaver!U2,mortality_hhd!U2,mortality_ichd!U2,mortality_live!U2,mortality_pd!U2)</f>
        <v>0</v>
      </c>
      <c r="V2">
        <f>SUM(mortality_cadaver!V2,mortality_hhd!V2,mortality_ichd!V2,mortality_live!V2,mortality_pd!V2)</f>
        <v>0</v>
      </c>
      <c r="W2">
        <f>SUM(mortality_cadaver!W2,mortality_hhd!W2,mortality_ichd!W2,mortality_live!W2,mortality_pd!W2)</f>
        <v>0</v>
      </c>
      <c r="X2">
        <f>SUM(mortality_cadaver!X2,mortality_hhd!X2,mortality_ichd!X2,mortality_live!X2,mortality_pd!X2)</f>
        <v>0</v>
      </c>
      <c r="Y2">
        <f>SUM(mortality_cadaver!Y2,mortality_hhd!Y2,mortality_ichd!Y2,mortality_live!Y2,mortality_pd!Y2)</f>
        <v>0</v>
      </c>
      <c r="Z2">
        <f>SUM(mortality_cadaver!Z2,mortality_hhd!Z2,mortality_ichd!Z2,mortality_live!Z2,mortality_pd!Z2)</f>
        <v>0</v>
      </c>
      <c r="AA2">
        <f>SUM(mortality_cadaver!AA2,mortality_hhd!AA2,mortality_ichd!AA2,mortality_live!AA2,mortality_pd!AA2)</f>
        <v>0</v>
      </c>
      <c r="AB2">
        <f>SUM(mortality_cadaver!AB2,mortality_hhd!AB2,mortality_ichd!AB2,mortality_live!AB2,mortality_pd!AB2)</f>
        <v>0</v>
      </c>
      <c r="AC2">
        <f>SUM(mortality_cadaver!AC2,mortality_hhd!AC2,mortality_ichd!AC2,mortality_live!AC2,mortality_pd!AC2)</f>
        <v>0</v>
      </c>
    </row>
    <row r="3" spans="1:29" x14ac:dyDescent="0.3">
      <c r="A3" s="24">
        <v>2</v>
      </c>
      <c r="B3">
        <f>SUM(mortality_cadaver!B3,mortality_hhd!B3,mortality_ichd!B3,mortality_live!B3,mortality_pd!B3)</f>
        <v>0</v>
      </c>
      <c r="C3">
        <f>SUM(mortality_cadaver!C3,mortality_hhd!C3,mortality_ichd!C3,mortality_live!C3,mortality_pd!C3)</f>
        <v>0</v>
      </c>
      <c r="D3">
        <f>SUM(mortality_cadaver!D3,mortality_hhd!D3,mortality_ichd!D3,mortality_live!D3,mortality_pd!D3)</f>
        <v>0</v>
      </c>
      <c r="E3">
        <f>SUM(mortality_cadaver!E3,mortality_hhd!E3,mortality_ichd!E3,mortality_live!E3,mortality_pd!E3)</f>
        <v>0</v>
      </c>
      <c r="F3">
        <f>SUM(mortality_cadaver!F3,mortality_hhd!F3,mortality_ichd!F3,mortality_live!F3,mortality_pd!F3)</f>
        <v>0</v>
      </c>
      <c r="G3">
        <f>SUM(mortality_cadaver!G3,mortality_hhd!G3,mortality_ichd!G3,mortality_live!G3,mortality_pd!G3)</f>
        <v>0</v>
      </c>
      <c r="H3">
        <f>SUM(mortality_cadaver!H3,mortality_hhd!H3,mortality_ichd!H3,mortality_live!H3,mortality_pd!H3)</f>
        <v>0</v>
      </c>
      <c r="I3">
        <f>SUM(mortality_cadaver!I3,mortality_hhd!I3,mortality_ichd!I3,mortality_live!I3,mortality_pd!I3)</f>
        <v>0</v>
      </c>
      <c r="J3">
        <f>SUM(mortality_cadaver!J3,mortality_hhd!J3,mortality_ichd!J3,mortality_live!J3,mortality_pd!J3)</f>
        <v>0</v>
      </c>
      <c r="K3">
        <f>SUM(mortality_cadaver!K3,mortality_hhd!K3,mortality_ichd!K3,mortality_live!K3,mortality_pd!K3)</f>
        <v>0</v>
      </c>
      <c r="L3">
        <f>SUM(mortality_cadaver!L3,mortality_hhd!L3,mortality_ichd!L3,mortality_live!L3,mortality_pd!L3)</f>
        <v>0</v>
      </c>
      <c r="M3">
        <f>SUM(mortality_cadaver!M3,mortality_hhd!M3,mortality_ichd!M3,mortality_live!M3,mortality_pd!M3)</f>
        <v>0</v>
      </c>
      <c r="N3">
        <f>SUM(mortality_cadaver!N3,mortality_hhd!N3,mortality_ichd!N3,mortality_live!N3,mortality_pd!N3)</f>
        <v>0</v>
      </c>
      <c r="O3">
        <f>SUM(mortality_cadaver!O3,mortality_hhd!O3,mortality_ichd!O3,mortality_live!O3,mortality_pd!O3)</f>
        <v>0</v>
      </c>
      <c r="P3">
        <f>SUM(mortality_cadaver!P3,mortality_hhd!P3,mortality_ichd!P3,mortality_live!P3,mortality_pd!P3)</f>
        <v>0</v>
      </c>
      <c r="Q3">
        <f>SUM(mortality_cadaver!Q3,mortality_hhd!Q3,mortality_ichd!Q3,mortality_live!Q3,mortality_pd!Q3)</f>
        <v>0</v>
      </c>
      <c r="R3">
        <f>SUM(mortality_cadaver!R3,mortality_hhd!R3,mortality_ichd!R3,mortality_live!R3,mortality_pd!R3)</f>
        <v>0</v>
      </c>
      <c r="S3">
        <f>SUM(mortality_cadaver!S3,mortality_hhd!S3,mortality_ichd!S3,mortality_live!S3,mortality_pd!S3)</f>
        <v>0</v>
      </c>
      <c r="T3">
        <f>SUM(mortality_cadaver!T3,mortality_hhd!T3,mortality_ichd!T3,mortality_live!T3,mortality_pd!T3)</f>
        <v>0</v>
      </c>
      <c r="U3">
        <f>SUM(mortality_cadaver!U3,mortality_hhd!U3,mortality_ichd!U3,mortality_live!U3,mortality_pd!U3)</f>
        <v>0</v>
      </c>
      <c r="V3">
        <f>SUM(mortality_cadaver!V3,mortality_hhd!V3,mortality_ichd!V3,mortality_live!V3,mortality_pd!V3)</f>
        <v>0</v>
      </c>
      <c r="W3">
        <f>SUM(mortality_cadaver!W3,mortality_hhd!W3,mortality_ichd!W3,mortality_live!W3,mortality_pd!W3)</f>
        <v>0</v>
      </c>
      <c r="X3">
        <f>SUM(mortality_cadaver!X3,mortality_hhd!X3,mortality_ichd!X3,mortality_live!X3,mortality_pd!X3)</f>
        <v>0</v>
      </c>
      <c r="Y3">
        <f>SUM(mortality_cadaver!Y3,mortality_hhd!Y3,mortality_ichd!Y3,mortality_live!Y3,mortality_pd!Y3)</f>
        <v>0</v>
      </c>
      <c r="Z3">
        <f>SUM(mortality_cadaver!Z3,mortality_hhd!Z3,mortality_ichd!Z3,mortality_live!Z3,mortality_pd!Z3)</f>
        <v>0</v>
      </c>
      <c r="AA3">
        <f>SUM(mortality_cadaver!AA3,mortality_hhd!AA3,mortality_ichd!AA3,mortality_live!AA3,mortality_pd!AA3)</f>
        <v>0</v>
      </c>
      <c r="AB3">
        <f>SUM(mortality_cadaver!AB3,mortality_hhd!AB3,mortality_ichd!AB3,mortality_live!AB3,mortality_pd!AB3)</f>
        <v>0</v>
      </c>
      <c r="AC3">
        <f>SUM(mortality_cadaver!AC3,mortality_hhd!AC3,mortality_ichd!AC3,mortality_live!AC3,mortality_pd!AC3)</f>
        <v>0</v>
      </c>
    </row>
    <row r="4" spans="1:29" x14ac:dyDescent="0.3">
      <c r="A4" s="24">
        <v>3</v>
      </c>
      <c r="B4">
        <f>SUM(mortality_cadaver!B4,mortality_hhd!B4,mortality_ichd!B4,mortality_live!B4,mortality_pd!B4)</f>
        <v>0</v>
      </c>
      <c r="C4">
        <f>SUM(mortality_cadaver!C4,mortality_hhd!C4,mortality_ichd!C4,mortality_live!C4,mortality_pd!C4)</f>
        <v>0</v>
      </c>
      <c r="D4">
        <f>SUM(mortality_cadaver!D4,mortality_hhd!D4,mortality_ichd!D4,mortality_live!D4,mortality_pd!D4)</f>
        <v>0</v>
      </c>
      <c r="E4">
        <f>SUM(mortality_cadaver!E4,mortality_hhd!E4,mortality_ichd!E4,mortality_live!E4,mortality_pd!E4)</f>
        <v>0</v>
      </c>
      <c r="F4">
        <f>SUM(mortality_cadaver!F4,mortality_hhd!F4,mortality_ichd!F4,mortality_live!F4,mortality_pd!F4)</f>
        <v>0</v>
      </c>
      <c r="G4">
        <f>SUM(mortality_cadaver!G4,mortality_hhd!G4,mortality_ichd!G4,mortality_live!G4,mortality_pd!G4)</f>
        <v>0</v>
      </c>
      <c r="H4">
        <f>SUM(mortality_cadaver!H4,mortality_hhd!H4,mortality_ichd!H4,mortality_live!H4,mortality_pd!H4)</f>
        <v>0</v>
      </c>
      <c r="I4">
        <f>SUM(mortality_cadaver!I4,mortality_hhd!I4,mortality_ichd!I4,mortality_live!I4,mortality_pd!I4)</f>
        <v>0</v>
      </c>
      <c r="J4">
        <f>SUM(mortality_cadaver!J4,mortality_hhd!J4,mortality_ichd!J4,mortality_live!J4,mortality_pd!J4)</f>
        <v>0</v>
      </c>
      <c r="K4">
        <f>SUM(mortality_cadaver!K4,mortality_hhd!K4,mortality_ichd!K4,mortality_live!K4,mortality_pd!K4)</f>
        <v>0</v>
      </c>
      <c r="L4">
        <f>SUM(mortality_cadaver!L4,mortality_hhd!L4,mortality_ichd!L4,mortality_live!L4,mortality_pd!L4)</f>
        <v>0</v>
      </c>
      <c r="M4">
        <f>SUM(mortality_cadaver!M4,mortality_hhd!M4,mortality_ichd!M4,mortality_live!M4,mortality_pd!M4)</f>
        <v>0</v>
      </c>
      <c r="N4">
        <f>SUM(mortality_cadaver!N4,mortality_hhd!N4,mortality_ichd!N4,mortality_live!N4,mortality_pd!N4)</f>
        <v>0</v>
      </c>
      <c r="O4">
        <f>SUM(mortality_cadaver!O4,mortality_hhd!O4,mortality_ichd!O4,mortality_live!O4,mortality_pd!O4)</f>
        <v>0</v>
      </c>
      <c r="P4">
        <f>SUM(mortality_cadaver!P4,mortality_hhd!P4,mortality_ichd!P4,mortality_live!P4,mortality_pd!P4)</f>
        <v>0</v>
      </c>
      <c r="Q4">
        <f>SUM(mortality_cadaver!Q4,mortality_hhd!Q4,mortality_ichd!Q4,mortality_live!Q4,mortality_pd!Q4)</f>
        <v>0</v>
      </c>
      <c r="R4">
        <f>SUM(mortality_cadaver!R4,mortality_hhd!R4,mortality_ichd!R4,mortality_live!R4,mortality_pd!R4)</f>
        <v>0</v>
      </c>
      <c r="S4">
        <f>SUM(mortality_cadaver!S4,mortality_hhd!S4,mortality_ichd!S4,mortality_live!S4,mortality_pd!S4)</f>
        <v>0</v>
      </c>
      <c r="T4">
        <f>SUM(mortality_cadaver!T4,mortality_hhd!T4,mortality_ichd!T4,mortality_live!T4,mortality_pd!T4)</f>
        <v>0</v>
      </c>
      <c r="U4">
        <f>SUM(mortality_cadaver!U4,mortality_hhd!U4,mortality_ichd!U4,mortality_live!U4,mortality_pd!U4)</f>
        <v>0</v>
      </c>
      <c r="V4">
        <f>SUM(mortality_cadaver!V4,mortality_hhd!V4,mortality_ichd!V4,mortality_live!V4,mortality_pd!V4)</f>
        <v>0</v>
      </c>
      <c r="W4">
        <f>SUM(mortality_cadaver!W4,mortality_hhd!W4,mortality_ichd!W4,mortality_live!W4,mortality_pd!W4)</f>
        <v>0</v>
      </c>
      <c r="X4">
        <f>SUM(mortality_cadaver!X4,mortality_hhd!X4,mortality_ichd!X4,mortality_live!X4,mortality_pd!X4)</f>
        <v>0</v>
      </c>
      <c r="Y4">
        <f>SUM(mortality_cadaver!Y4,mortality_hhd!Y4,mortality_ichd!Y4,mortality_live!Y4,mortality_pd!Y4)</f>
        <v>0</v>
      </c>
      <c r="Z4">
        <f>SUM(mortality_cadaver!Z4,mortality_hhd!Z4,mortality_ichd!Z4,mortality_live!Z4,mortality_pd!Z4)</f>
        <v>0</v>
      </c>
      <c r="AA4">
        <f>SUM(mortality_cadaver!AA4,mortality_hhd!AA4,mortality_ichd!AA4,mortality_live!AA4,mortality_pd!AA4)</f>
        <v>0</v>
      </c>
      <c r="AB4">
        <f>SUM(mortality_cadaver!AB4,mortality_hhd!AB4,mortality_ichd!AB4,mortality_live!AB4,mortality_pd!AB4)</f>
        <v>0</v>
      </c>
      <c r="AC4">
        <f>SUM(mortality_cadaver!AC4,mortality_hhd!AC4,mortality_ichd!AC4,mortality_live!AC4,mortality_pd!AC4)</f>
        <v>0</v>
      </c>
    </row>
    <row r="5" spans="1:29" x14ac:dyDescent="0.3">
      <c r="A5" s="24">
        <v>4</v>
      </c>
      <c r="B5">
        <f>SUM(mortality_cadaver!B5,mortality_hhd!B5,mortality_ichd!B5,mortality_live!B5,mortality_pd!B5)</f>
        <v>0</v>
      </c>
      <c r="C5">
        <f>SUM(mortality_cadaver!C5,mortality_hhd!C5,mortality_ichd!C5,mortality_live!C5,mortality_pd!C5)</f>
        <v>0</v>
      </c>
      <c r="D5">
        <f>SUM(mortality_cadaver!D5,mortality_hhd!D5,mortality_ichd!D5,mortality_live!D5,mortality_pd!D5)</f>
        <v>0</v>
      </c>
      <c r="E5">
        <f>SUM(mortality_cadaver!E5,mortality_hhd!E5,mortality_ichd!E5,mortality_live!E5,mortality_pd!E5)</f>
        <v>0</v>
      </c>
      <c r="F5">
        <f>SUM(mortality_cadaver!F5,mortality_hhd!F5,mortality_ichd!F5,mortality_live!F5,mortality_pd!F5)</f>
        <v>0</v>
      </c>
      <c r="G5">
        <f>SUM(mortality_cadaver!G5,mortality_hhd!G5,mortality_ichd!G5,mortality_live!G5,mortality_pd!G5)</f>
        <v>0</v>
      </c>
      <c r="H5">
        <f>SUM(mortality_cadaver!H5,mortality_hhd!H5,mortality_ichd!H5,mortality_live!H5,mortality_pd!H5)</f>
        <v>0</v>
      </c>
      <c r="I5">
        <f>SUM(mortality_cadaver!I5,mortality_hhd!I5,mortality_ichd!I5,mortality_live!I5,mortality_pd!I5)</f>
        <v>0</v>
      </c>
      <c r="J5">
        <f>SUM(mortality_cadaver!J5,mortality_hhd!J5,mortality_ichd!J5,mortality_live!J5,mortality_pd!J5)</f>
        <v>0</v>
      </c>
      <c r="K5">
        <f>SUM(mortality_cadaver!K5,mortality_hhd!K5,mortality_ichd!K5,mortality_live!K5,mortality_pd!K5)</f>
        <v>0</v>
      </c>
      <c r="L5">
        <f>SUM(mortality_cadaver!L5,mortality_hhd!L5,mortality_ichd!L5,mortality_live!L5,mortality_pd!L5)</f>
        <v>0</v>
      </c>
      <c r="M5">
        <f>SUM(mortality_cadaver!M5,mortality_hhd!M5,mortality_ichd!M5,mortality_live!M5,mortality_pd!M5)</f>
        <v>0</v>
      </c>
      <c r="N5">
        <f>SUM(mortality_cadaver!N5,mortality_hhd!N5,mortality_ichd!N5,mortality_live!N5,mortality_pd!N5)</f>
        <v>0</v>
      </c>
      <c r="O5">
        <f>SUM(mortality_cadaver!O5,mortality_hhd!O5,mortality_ichd!O5,mortality_live!O5,mortality_pd!O5)</f>
        <v>0</v>
      </c>
      <c r="P5">
        <f>SUM(mortality_cadaver!P5,mortality_hhd!P5,mortality_ichd!P5,mortality_live!P5,mortality_pd!P5)</f>
        <v>0</v>
      </c>
      <c r="Q5">
        <f>SUM(mortality_cadaver!Q5,mortality_hhd!Q5,mortality_ichd!Q5,mortality_live!Q5,mortality_pd!Q5)</f>
        <v>0</v>
      </c>
      <c r="R5">
        <f>SUM(mortality_cadaver!R5,mortality_hhd!R5,mortality_ichd!R5,mortality_live!R5,mortality_pd!R5)</f>
        <v>0</v>
      </c>
      <c r="S5">
        <f>SUM(mortality_cadaver!S5,mortality_hhd!S5,mortality_ichd!S5,mortality_live!S5,mortality_pd!S5)</f>
        <v>0</v>
      </c>
      <c r="T5">
        <f>SUM(mortality_cadaver!T5,mortality_hhd!T5,mortality_ichd!T5,mortality_live!T5,mortality_pd!T5)</f>
        <v>0</v>
      </c>
      <c r="U5">
        <f>SUM(mortality_cadaver!U5,mortality_hhd!U5,mortality_ichd!U5,mortality_live!U5,mortality_pd!U5)</f>
        <v>0</v>
      </c>
      <c r="V5">
        <f>SUM(mortality_cadaver!V5,mortality_hhd!V5,mortality_ichd!V5,mortality_live!V5,mortality_pd!V5)</f>
        <v>0</v>
      </c>
      <c r="W5">
        <f>SUM(mortality_cadaver!W5,mortality_hhd!W5,mortality_ichd!W5,mortality_live!W5,mortality_pd!W5)</f>
        <v>0</v>
      </c>
      <c r="X5">
        <f>SUM(mortality_cadaver!X5,mortality_hhd!X5,mortality_ichd!X5,mortality_live!X5,mortality_pd!X5)</f>
        <v>0</v>
      </c>
      <c r="Y5">
        <f>SUM(mortality_cadaver!Y5,mortality_hhd!Y5,mortality_ichd!Y5,mortality_live!Y5,mortality_pd!Y5)</f>
        <v>0</v>
      </c>
      <c r="Z5">
        <f>SUM(mortality_cadaver!Z5,mortality_hhd!Z5,mortality_ichd!Z5,mortality_live!Z5,mortality_pd!Z5)</f>
        <v>0</v>
      </c>
      <c r="AA5">
        <f>SUM(mortality_cadaver!AA5,mortality_hhd!AA5,mortality_ichd!AA5,mortality_live!AA5,mortality_pd!AA5)</f>
        <v>0</v>
      </c>
      <c r="AB5">
        <f>SUM(mortality_cadaver!AB5,mortality_hhd!AB5,mortality_ichd!AB5,mortality_live!AB5,mortality_pd!AB5)</f>
        <v>0</v>
      </c>
      <c r="AC5">
        <f>SUM(mortality_cadaver!AC5,mortality_hhd!AC5,mortality_ichd!AC5,mortality_live!AC5,mortality_pd!AC5)</f>
        <v>0</v>
      </c>
    </row>
    <row r="6" spans="1:29" x14ac:dyDescent="0.3">
      <c r="A6" s="24">
        <v>5</v>
      </c>
      <c r="B6">
        <f>SUM(mortality_cadaver!B6,mortality_hhd!B6,mortality_ichd!B6,mortality_live!B6,mortality_pd!B6)</f>
        <v>0</v>
      </c>
      <c r="C6">
        <f>SUM(mortality_cadaver!C6,mortality_hhd!C6,mortality_ichd!C6,mortality_live!C6,mortality_pd!C6)</f>
        <v>0</v>
      </c>
      <c r="D6">
        <f>SUM(mortality_cadaver!D6,mortality_hhd!D6,mortality_ichd!D6,mortality_live!D6,mortality_pd!D6)</f>
        <v>0</v>
      </c>
      <c r="E6">
        <f>SUM(mortality_cadaver!E6,mortality_hhd!E6,mortality_ichd!E6,mortality_live!E6,mortality_pd!E6)</f>
        <v>0</v>
      </c>
      <c r="F6">
        <f>SUM(mortality_cadaver!F6,mortality_hhd!F6,mortality_ichd!F6,mortality_live!F6,mortality_pd!F6)</f>
        <v>0</v>
      </c>
      <c r="G6">
        <f>SUM(mortality_cadaver!G6,mortality_hhd!G6,mortality_ichd!G6,mortality_live!G6,mortality_pd!G6)</f>
        <v>0</v>
      </c>
      <c r="H6">
        <f>SUM(mortality_cadaver!H6,mortality_hhd!H6,mortality_ichd!H6,mortality_live!H6,mortality_pd!H6)</f>
        <v>0</v>
      </c>
      <c r="I6">
        <f>SUM(mortality_cadaver!I6,mortality_hhd!I6,mortality_ichd!I6,mortality_live!I6,mortality_pd!I6)</f>
        <v>0</v>
      </c>
      <c r="J6">
        <f>SUM(mortality_cadaver!J6,mortality_hhd!J6,mortality_ichd!J6,mortality_live!J6,mortality_pd!J6)</f>
        <v>0</v>
      </c>
      <c r="K6">
        <f>SUM(mortality_cadaver!K6,mortality_hhd!K6,mortality_ichd!K6,mortality_live!K6,mortality_pd!K6)</f>
        <v>0</v>
      </c>
      <c r="L6">
        <f>SUM(mortality_cadaver!L6,mortality_hhd!L6,mortality_ichd!L6,mortality_live!L6,mortality_pd!L6)</f>
        <v>0</v>
      </c>
      <c r="M6">
        <f>SUM(mortality_cadaver!M6,mortality_hhd!M6,mortality_ichd!M6,mortality_live!M6,mortality_pd!M6)</f>
        <v>0</v>
      </c>
      <c r="N6">
        <f>SUM(mortality_cadaver!N6,mortality_hhd!N6,mortality_ichd!N6,mortality_live!N6,mortality_pd!N6)</f>
        <v>0</v>
      </c>
      <c r="O6">
        <f>SUM(mortality_cadaver!O6,mortality_hhd!O6,mortality_ichd!O6,mortality_live!O6,mortality_pd!O6)</f>
        <v>0</v>
      </c>
      <c r="P6">
        <f>SUM(mortality_cadaver!P6,mortality_hhd!P6,mortality_ichd!P6,mortality_live!P6,mortality_pd!P6)</f>
        <v>0</v>
      </c>
      <c r="Q6">
        <f>SUM(mortality_cadaver!Q6,mortality_hhd!Q6,mortality_ichd!Q6,mortality_live!Q6,mortality_pd!Q6)</f>
        <v>0</v>
      </c>
      <c r="R6">
        <f>SUM(mortality_cadaver!R6,mortality_hhd!R6,mortality_ichd!R6,mortality_live!R6,mortality_pd!R6)</f>
        <v>0</v>
      </c>
      <c r="S6">
        <f>SUM(mortality_cadaver!S6,mortality_hhd!S6,mortality_ichd!S6,mortality_live!S6,mortality_pd!S6)</f>
        <v>0</v>
      </c>
      <c r="T6">
        <f>SUM(mortality_cadaver!T6,mortality_hhd!T6,mortality_ichd!T6,mortality_live!T6,mortality_pd!T6)</f>
        <v>0</v>
      </c>
      <c r="U6">
        <f>SUM(mortality_cadaver!U6,mortality_hhd!U6,mortality_ichd!U6,mortality_live!U6,mortality_pd!U6)</f>
        <v>0</v>
      </c>
      <c r="V6">
        <f>SUM(mortality_cadaver!V6,mortality_hhd!V6,mortality_ichd!V6,mortality_live!V6,mortality_pd!V6)</f>
        <v>0</v>
      </c>
      <c r="W6">
        <f>SUM(mortality_cadaver!W6,mortality_hhd!W6,mortality_ichd!W6,mortality_live!W6,mortality_pd!W6)</f>
        <v>0</v>
      </c>
      <c r="X6">
        <f>SUM(mortality_cadaver!X6,mortality_hhd!X6,mortality_ichd!X6,mortality_live!X6,mortality_pd!X6)</f>
        <v>0</v>
      </c>
      <c r="Y6">
        <f>SUM(mortality_cadaver!Y6,mortality_hhd!Y6,mortality_ichd!Y6,mortality_live!Y6,mortality_pd!Y6)</f>
        <v>0</v>
      </c>
      <c r="Z6">
        <f>SUM(mortality_cadaver!Z6,mortality_hhd!Z6,mortality_ichd!Z6,mortality_live!Z6,mortality_pd!Z6)</f>
        <v>0</v>
      </c>
      <c r="AA6">
        <f>SUM(mortality_cadaver!AA6,mortality_hhd!AA6,mortality_ichd!AA6,mortality_live!AA6,mortality_pd!AA6)</f>
        <v>0</v>
      </c>
      <c r="AB6">
        <f>SUM(mortality_cadaver!AB6,mortality_hhd!AB6,mortality_ichd!AB6,mortality_live!AB6,mortality_pd!AB6)</f>
        <v>0</v>
      </c>
      <c r="AC6">
        <f>SUM(mortality_cadaver!AC6,mortality_hhd!AC6,mortality_ichd!AC6,mortality_live!AC6,mortality_pd!AC6)</f>
        <v>0</v>
      </c>
    </row>
    <row r="7" spans="1:29" x14ac:dyDescent="0.3">
      <c r="A7" s="24">
        <v>6</v>
      </c>
      <c r="B7">
        <f>SUM(mortality_cadaver!B7,mortality_hhd!B7,mortality_ichd!B7,mortality_live!B7,mortality_pd!B7)</f>
        <v>0</v>
      </c>
      <c r="C7">
        <f>SUM(mortality_cadaver!C7,mortality_hhd!C7,mortality_ichd!C7,mortality_live!C7,mortality_pd!C7)</f>
        <v>0</v>
      </c>
      <c r="D7">
        <f>SUM(mortality_cadaver!D7,mortality_hhd!D7,mortality_ichd!D7,mortality_live!D7,mortality_pd!D7)</f>
        <v>0</v>
      </c>
      <c r="E7">
        <f>SUM(mortality_cadaver!E7,mortality_hhd!E7,mortality_ichd!E7,mortality_live!E7,mortality_pd!E7)</f>
        <v>0</v>
      </c>
      <c r="F7">
        <f>SUM(mortality_cadaver!F7,mortality_hhd!F7,mortality_ichd!F7,mortality_live!F7,mortality_pd!F7)</f>
        <v>0</v>
      </c>
      <c r="G7">
        <f>SUM(mortality_cadaver!G7,mortality_hhd!G7,mortality_ichd!G7,mortality_live!G7,mortality_pd!G7)</f>
        <v>0</v>
      </c>
      <c r="H7">
        <f>SUM(mortality_cadaver!H7,mortality_hhd!H7,mortality_ichd!H7,mortality_live!H7,mortality_pd!H7)</f>
        <v>0</v>
      </c>
      <c r="I7">
        <f>SUM(mortality_cadaver!I7,mortality_hhd!I7,mortality_ichd!I7,mortality_live!I7,mortality_pd!I7)</f>
        <v>0</v>
      </c>
      <c r="J7">
        <f>SUM(mortality_cadaver!J7,mortality_hhd!J7,mortality_ichd!J7,mortality_live!J7,mortality_pd!J7)</f>
        <v>0</v>
      </c>
      <c r="K7">
        <f>SUM(mortality_cadaver!K7,mortality_hhd!K7,mortality_ichd!K7,mortality_live!K7,mortality_pd!K7)</f>
        <v>0</v>
      </c>
      <c r="L7">
        <f>SUM(mortality_cadaver!L7,mortality_hhd!L7,mortality_ichd!L7,mortality_live!L7,mortality_pd!L7)</f>
        <v>0</v>
      </c>
      <c r="M7">
        <f>SUM(mortality_cadaver!M7,mortality_hhd!M7,mortality_ichd!M7,mortality_live!M7,mortality_pd!M7)</f>
        <v>0</v>
      </c>
      <c r="N7">
        <f>SUM(mortality_cadaver!N7,mortality_hhd!N7,mortality_ichd!N7,mortality_live!N7,mortality_pd!N7)</f>
        <v>0</v>
      </c>
      <c r="O7">
        <f>SUM(mortality_cadaver!O7,mortality_hhd!O7,mortality_ichd!O7,mortality_live!O7,mortality_pd!O7)</f>
        <v>0</v>
      </c>
      <c r="P7">
        <f>SUM(mortality_cadaver!P7,mortality_hhd!P7,mortality_ichd!P7,mortality_live!P7,mortality_pd!P7)</f>
        <v>0</v>
      </c>
      <c r="Q7">
        <f>SUM(mortality_cadaver!Q7,mortality_hhd!Q7,mortality_ichd!Q7,mortality_live!Q7,mortality_pd!Q7)</f>
        <v>0</v>
      </c>
      <c r="R7">
        <f>SUM(mortality_cadaver!R7,mortality_hhd!R7,mortality_ichd!R7,mortality_live!R7,mortality_pd!R7)</f>
        <v>0</v>
      </c>
      <c r="S7">
        <f>SUM(mortality_cadaver!S7,mortality_hhd!S7,mortality_ichd!S7,mortality_live!S7,mortality_pd!S7)</f>
        <v>0</v>
      </c>
      <c r="T7">
        <f>SUM(mortality_cadaver!T7,mortality_hhd!T7,mortality_ichd!T7,mortality_live!T7,mortality_pd!T7)</f>
        <v>0</v>
      </c>
      <c r="U7">
        <f>SUM(mortality_cadaver!U7,mortality_hhd!U7,mortality_ichd!U7,mortality_live!U7,mortality_pd!U7)</f>
        <v>0</v>
      </c>
      <c r="V7">
        <f>SUM(mortality_cadaver!V7,mortality_hhd!V7,mortality_ichd!V7,mortality_live!V7,mortality_pd!V7)</f>
        <v>0</v>
      </c>
      <c r="W7">
        <f>SUM(mortality_cadaver!W7,mortality_hhd!W7,mortality_ichd!W7,mortality_live!W7,mortality_pd!W7)</f>
        <v>0</v>
      </c>
      <c r="X7">
        <f>SUM(mortality_cadaver!X7,mortality_hhd!X7,mortality_ichd!X7,mortality_live!X7,mortality_pd!X7)</f>
        <v>0</v>
      </c>
      <c r="Y7">
        <f>SUM(mortality_cadaver!Y7,mortality_hhd!Y7,mortality_ichd!Y7,mortality_live!Y7,mortality_pd!Y7)</f>
        <v>0</v>
      </c>
      <c r="Z7">
        <f>SUM(mortality_cadaver!Z7,mortality_hhd!Z7,mortality_ichd!Z7,mortality_live!Z7,mortality_pd!Z7)</f>
        <v>0</v>
      </c>
      <c r="AA7">
        <f>SUM(mortality_cadaver!AA7,mortality_hhd!AA7,mortality_ichd!AA7,mortality_live!AA7,mortality_pd!AA7)</f>
        <v>0</v>
      </c>
      <c r="AB7">
        <f>SUM(mortality_cadaver!AB7,mortality_hhd!AB7,mortality_ichd!AB7,mortality_live!AB7,mortality_pd!AB7)</f>
        <v>0</v>
      </c>
      <c r="AC7">
        <f>SUM(mortality_cadaver!AC7,mortality_hhd!AC7,mortality_ichd!AC7,mortality_live!AC7,mortality_pd!AC7)</f>
        <v>0</v>
      </c>
    </row>
    <row r="8" spans="1:29" x14ac:dyDescent="0.3">
      <c r="A8" s="24">
        <v>7</v>
      </c>
      <c r="B8">
        <f>SUM(mortality_cadaver!B8,mortality_hhd!B8,mortality_ichd!B8,mortality_live!B8,mortality_pd!B8)</f>
        <v>0</v>
      </c>
      <c r="C8">
        <f>SUM(mortality_cadaver!C8,mortality_hhd!C8,mortality_ichd!C8,mortality_live!C8,mortality_pd!C8)</f>
        <v>0</v>
      </c>
      <c r="D8">
        <f>SUM(mortality_cadaver!D8,mortality_hhd!D8,mortality_ichd!D8,mortality_live!D8,mortality_pd!D8)</f>
        <v>0</v>
      </c>
      <c r="E8">
        <f>SUM(mortality_cadaver!E8,mortality_hhd!E8,mortality_ichd!E8,mortality_live!E8,mortality_pd!E8)</f>
        <v>0</v>
      </c>
      <c r="F8">
        <f>SUM(mortality_cadaver!F8,mortality_hhd!F8,mortality_ichd!F8,mortality_live!F8,mortality_pd!F8)</f>
        <v>0</v>
      </c>
      <c r="G8">
        <f>SUM(mortality_cadaver!G8,mortality_hhd!G8,mortality_ichd!G8,mortality_live!G8,mortality_pd!G8)</f>
        <v>0</v>
      </c>
      <c r="H8">
        <f>SUM(mortality_cadaver!H8,mortality_hhd!H8,mortality_ichd!H8,mortality_live!H8,mortality_pd!H8)</f>
        <v>0</v>
      </c>
      <c r="I8">
        <f>SUM(mortality_cadaver!I8,mortality_hhd!I8,mortality_ichd!I8,mortality_live!I8,mortality_pd!I8)</f>
        <v>0</v>
      </c>
      <c r="J8">
        <f>SUM(mortality_cadaver!J8,mortality_hhd!J8,mortality_ichd!J8,mortality_live!J8,mortality_pd!J8)</f>
        <v>0</v>
      </c>
      <c r="K8">
        <f>SUM(mortality_cadaver!K8,mortality_hhd!K8,mortality_ichd!K8,mortality_live!K8,mortality_pd!K8)</f>
        <v>0</v>
      </c>
      <c r="L8">
        <f>SUM(mortality_cadaver!L8,mortality_hhd!L8,mortality_ichd!L8,mortality_live!L8,mortality_pd!L8)</f>
        <v>0</v>
      </c>
      <c r="M8">
        <f>SUM(mortality_cadaver!M8,mortality_hhd!M8,mortality_ichd!M8,mortality_live!M8,mortality_pd!M8)</f>
        <v>0</v>
      </c>
      <c r="N8">
        <f>SUM(mortality_cadaver!N8,mortality_hhd!N8,mortality_ichd!N8,mortality_live!N8,mortality_pd!N8)</f>
        <v>0</v>
      </c>
      <c r="O8">
        <f>SUM(mortality_cadaver!O8,mortality_hhd!O8,mortality_ichd!O8,mortality_live!O8,mortality_pd!O8)</f>
        <v>0</v>
      </c>
      <c r="P8">
        <f>SUM(mortality_cadaver!P8,mortality_hhd!P8,mortality_ichd!P8,mortality_live!P8,mortality_pd!P8)</f>
        <v>0</v>
      </c>
      <c r="Q8">
        <f>SUM(mortality_cadaver!Q8,mortality_hhd!Q8,mortality_ichd!Q8,mortality_live!Q8,mortality_pd!Q8)</f>
        <v>0</v>
      </c>
      <c r="R8">
        <f>SUM(mortality_cadaver!R8,mortality_hhd!R8,mortality_ichd!R8,mortality_live!R8,mortality_pd!R8)</f>
        <v>0</v>
      </c>
      <c r="S8">
        <f>SUM(mortality_cadaver!S8,mortality_hhd!S8,mortality_ichd!S8,mortality_live!S8,mortality_pd!S8)</f>
        <v>0</v>
      </c>
      <c r="T8">
        <f>SUM(mortality_cadaver!T8,mortality_hhd!T8,mortality_ichd!T8,mortality_live!T8,mortality_pd!T8)</f>
        <v>0</v>
      </c>
      <c r="U8">
        <f>SUM(mortality_cadaver!U8,mortality_hhd!U8,mortality_ichd!U8,mortality_live!U8,mortality_pd!U8)</f>
        <v>0</v>
      </c>
      <c r="V8">
        <f>SUM(mortality_cadaver!V8,mortality_hhd!V8,mortality_ichd!V8,mortality_live!V8,mortality_pd!V8)</f>
        <v>0</v>
      </c>
      <c r="W8">
        <f>SUM(mortality_cadaver!W8,mortality_hhd!W8,mortality_ichd!W8,mortality_live!W8,mortality_pd!W8)</f>
        <v>0</v>
      </c>
      <c r="X8">
        <f>SUM(mortality_cadaver!X8,mortality_hhd!X8,mortality_ichd!X8,mortality_live!X8,mortality_pd!X8)</f>
        <v>0</v>
      </c>
      <c r="Y8">
        <f>SUM(mortality_cadaver!Y8,mortality_hhd!Y8,mortality_ichd!Y8,mortality_live!Y8,mortality_pd!Y8)</f>
        <v>0</v>
      </c>
      <c r="Z8">
        <f>SUM(mortality_cadaver!Z8,mortality_hhd!Z8,mortality_ichd!Z8,mortality_live!Z8,mortality_pd!Z8)</f>
        <v>0</v>
      </c>
      <c r="AA8">
        <f>SUM(mortality_cadaver!AA8,mortality_hhd!AA8,mortality_ichd!AA8,mortality_live!AA8,mortality_pd!AA8)</f>
        <v>0</v>
      </c>
      <c r="AB8">
        <f>SUM(mortality_cadaver!AB8,mortality_hhd!AB8,mortality_ichd!AB8,mortality_live!AB8,mortality_pd!AB8)</f>
        <v>0</v>
      </c>
      <c r="AC8">
        <f>SUM(mortality_cadaver!AC8,mortality_hhd!AC8,mortality_ichd!AC8,mortality_live!AC8,mortality_pd!AC8)</f>
        <v>0</v>
      </c>
    </row>
    <row r="9" spans="1:29" x14ac:dyDescent="0.3">
      <c r="A9" s="24">
        <v>8</v>
      </c>
      <c r="B9">
        <f>SUM(mortality_cadaver!B9,mortality_hhd!B9,mortality_ichd!B9,mortality_live!B9,mortality_pd!B9)</f>
        <v>0</v>
      </c>
      <c r="C9">
        <f>SUM(mortality_cadaver!C9,mortality_hhd!C9,mortality_ichd!C9,mortality_live!C9,mortality_pd!C9)</f>
        <v>0</v>
      </c>
      <c r="D9">
        <f>SUM(mortality_cadaver!D9,mortality_hhd!D9,mortality_ichd!D9,mortality_live!D9,mortality_pd!D9)</f>
        <v>0</v>
      </c>
      <c r="E9">
        <f>SUM(mortality_cadaver!E9,mortality_hhd!E9,mortality_ichd!E9,mortality_live!E9,mortality_pd!E9)</f>
        <v>0</v>
      </c>
      <c r="F9">
        <f>SUM(mortality_cadaver!F9,mortality_hhd!F9,mortality_ichd!F9,mortality_live!F9,mortality_pd!F9)</f>
        <v>0</v>
      </c>
      <c r="G9">
        <f>SUM(mortality_cadaver!G9,mortality_hhd!G9,mortality_ichd!G9,mortality_live!G9,mortality_pd!G9)</f>
        <v>0</v>
      </c>
      <c r="H9">
        <f>SUM(mortality_cadaver!H9,mortality_hhd!H9,mortality_ichd!H9,mortality_live!H9,mortality_pd!H9)</f>
        <v>0</v>
      </c>
      <c r="I9">
        <f>SUM(mortality_cadaver!I9,mortality_hhd!I9,mortality_ichd!I9,mortality_live!I9,mortality_pd!I9)</f>
        <v>0</v>
      </c>
      <c r="J9">
        <f>SUM(mortality_cadaver!J9,mortality_hhd!J9,mortality_ichd!J9,mortality_live!J9,mortality_pd!J9)</f>
        <v>0</v>
      </c>
      <c r="K9">
        <f>SUM(mortality_cadaver!K9,mortality_hhd!K9,mortality_ichd!K9,mortality_live!K9,mortality_pd!K9)</f>
        <v>0</v>
      </c>
      <c r="L9">
        <f>SUM(mortality_cadaver!L9,mortality_hhd!L9,mortality_ichd!L9,mortality_live!L9,mortality_pd!L9)</f>
        <v>0</v>
      </c>
      <c r="M9">
        <f>SUM(mortality_cadaver!M9,mortality_hhd!M9,mortality_ichd!M9,mortality_live!M9,mortality_pd!M9)</f>
        <v>0</v>
      </c>
      <c r="N9">
        <f>SUM(mortality_cadaver!N9,mortality_hhd!N9,mortality_ichd!N9,mortality_live!N9,mortality_pd!N9)</f>
        <v>0</v>
      </c>
      <c r="O9">
        <f>SUM(mortality_cadaver!O9,mortality_hhd!O9,mortality_ichd!O9,mortality_live!O9,mortality_pd!O9)</f>
        <v>0</v>
      </c>
      <c r="P9">
        <f>SUM(mortality_cadaver!P9,mortality_hhd!P9,mortality_ichd!P9,mortality_live!P9,mortality_pd!P9)</f>
        <v>0</v>
      </c>
      <c r="Q9">
        <f>SUM(mortality_cadaver!Q9,mortality_hhd!Q9,mortality_ichd!Q9,mortality_live!Q9,mortality_pd!Q9)</f>
        <v>0</v>
      </c>
      <c r="R9">
        <f>SUM(mortality_cadaver!R9,mortality_hhd!R9,mortality_ichd!R9,mortality_live!R9,mortality_pd!R9)</f>
        <v>0</v>
      </c>
      <c r="S9">
        <f>SUM(mortality_cadaver!S9,mortality_hhd!S9,mortality_ichd!S9,mortality_live!S9,mortality_pd!S9)</f>
        <v>0</v>
      </c>
      <c r="T9">
        <f>SUM(mortality_cadaver!T9,mortality_hhd!T9,mortality_ichd!T9,mortality_live!T9,mortality_pd!T9)</f>
        <v>0</v>
      </c>
      <c r="U9">
        <f>SUM(mortality_cadaver!U9,mortality_hhd!U9,mortality_ichd!U9,mortality_live!U9,mortality_pd!U9)</f>
        <v>0</v>
      </c>
      <c r="V9">
        <f>SUM(mortality_cadaver!V9,mortality_hhd!V9,mortality_ichd!V9,mortality_live!V9,mortality_pd!V9)</f>
        <v>0</v>
      </c>
      <c r="W9">
        <f>SUM(mortality_cadaver!W9,mortality_hhd!W9,mortality_ichd!W9,mortality_live!W9,mortality_pd!W9)</f>
        <v>0</v>
      </c>
      <c r="X9">
        <f>SUM(mortality_cadaver!X9,mortality_hhd!X9,mortality_ichd!X9,mortality_live!X9,mortality_pd!X9)</f>
        <v>0</v>
      </c>
      <c r="Y9">
        <f>SUM(mortality_cadaver!Y9,mortality_hhd!Y9,mortality_ichd!Y9,mortality_live!Y9,mortality_pd!Y9)</f>
        <v>0</v>
      </c>
      <c r="Z9">
        <f>SUM(mortality_cadaver!Z9,mortality_hhd!Z9,mortality_ichd!Z9,mortality_live!Z9,mortality_pd!Z9)</f>
        <v>0</v>
      </c>
      <c r="AA9">
        <f>SUM(mortality_cadaver!AA9,mortality_hhd!AA9,mortality_ichd!AA9,mortality_live!AA9,mortality_pd!AA9)</f>
        <v>0</v>
      </c>
      <c r="AB9">
        <f>SUM(mortality_cadaver!AB9,mortality_hhd!AB9,mortality_ichd!AB9,mortality_live!AB9,mortality_pd!AB9)</f>
        <v>0</v>
      </c>
      <c r="AC9">
        <f>SUM(mortality_cadaver!AC9,mortality_hhd!AC9,mortality_ichd!AC9,mortality_live!AC9,mortality_pd!AC9)</f>
        <v>0</v>
      </c>
    </row>
    <row r="10" spans="1:29" x14ac:dyDescent="0.3">
      <c r="A10" s="24">
        <v>9</v>
      </c>
      <c r="B10">
        <f>SUM(mortality_cadaver!B10,mortality_hhd!B10,mortality_ichd!B10,mortality_live!B10,mortality_pd!B10)</f>
        <v>0</v>
      </c>
      <c r="C10">
        <f>SUM(mortality_cadaver!C10,mortality_hhd!C10,mortality_ichd!C10,mortality_live!C10,mortality_pd!C10)</f>
        <v>0</v>
      </c>
      <c r="D10">
        <f>SUM(mortality_cadaver!D10,mortality_hhd!D10,mortality_ichd!D10,mortality_live!D10,mortality_pd!D10)</f>
        <v>0</v>
      </c>
      <c r="E10">
        <f>SUM(mortality_cadaver!E10,mortality_hhd!E10,mortality_ichd!E10,mortality_live!E10,mortality_pd!E10)</f>
        <v>0</v>
      </c>
      <c r="F10">
        <f>SUM(mortality_cadaver!F10,mortality_hhd!F10,mortality_ichd!F10,mortality_live!F10,mortality_pd!F10)</f>
        <v>0</v>
      </c>
      <c r="G10">
        <f>SUM(mortality_cadaver!G10,mortality_hhd!G10,mortality_ichd!G10,mortality_live!G10,mortality_pd!G10)</f>
        <v>0</v>
      </c>
      <c r="H10">
        <f>SUM(mortality_cadaver!H10,mortality_hhd!H10,mortality_ichd!H10,mortality_live!H10,mortality_pd!H10)</f>
        <v>0</v>
      </c>
      <c r="I10">
        <f>SUM(mortality_cadaver!I10,mortality_hhd!I10,mortality_ichd!I10,mortality_live!I10,mortality_pd!I10)</f>
        <v>0</v>
      </c>
      <c r="J10">
        <f>SUM(mortality_cadaver!J10,mortality_hhd!J10,mortality_ichd!J10,mortality_live!J10,mortality_pd!J10)</f>
        <v>0</v>
      </c>
      <c r="K10">
        <f>SUM(mortality_cadaver!K10,mortality_hhd!K10,mortality_ichd!K10,mortality_live!K10,mortality_pd!K10)</f>
        <v>0</v>
      </c>
      <c r="L10">
        <f>SUM(mortality_cadaver!L10,mortality_hhd!L10,mortality_ichd!L10,mortality_live!L10,mortality_pd!L10)</f>
        <v>0</v>
      </c>
      <c r="M10">
        <f>SUM(mortality_cadaver!M10,mortality_hhd!M10,mortality_ichd!M10,mortality_live!M10,mortality_pd!M10)</f>
        <v>0</v>
      </c>
      <c r="N10">
        <f>SUM(mortality_cadaver!N10,mortality_hhd!N10,mortality_ichd!N10,mortality_live!N10,mortality_pd!N10)</f>
        <v>0</v>
      </c>
      <c r="O10">
        <f>SUM(mortality_cadaver!O10,mortality_hhd!O10,mortality_ichd!O10,mortality_live!O10,mortality_pd!O10)</f>
        <v>0</v>
      </c>
      <c r="P10">
        <f>SUM(mortality_cadaver!P10,mortality_hhd!P10,mortality_ichd!P10,mortality_live!P10,mortality_pd!P10)</f>
        <v>0</v>
      </c>
      <c r="Q10">
        <f>SUM(mortality_cadaver!Q10,mortality_hhd!Q10,mortality_ichd!Q10,mortality_live!Q10,mortality_pd!Q10)</f>
        <v>0</v>
      </c>
      <c r="R10">
        <f>SUM(mortality_cadaver!R10,mortality_hhd!R10,mortality_ichd!R10,mortality_live!R10,mortality_pd!R10)</f>
        <v>0</v>
      </c>
      <c r="S10">
        <f>SUM(mortality_cadaver!S10,mortality_hhd!S10,mortality_ichd!S10,mortality_live!S10,mortality_pd!S10)</f>
        <v>0</v>
      </c>
      <c r="T10">
        <f>SUM(mortality_cadaver!T10,mortality_hhd!T10,mortality_ichd!T10,mortality_live!T10,mortality_pd!T10)</f>
        <v>0</v>
      </c>
      <c r="U10">
        <f>SUM(mortality_cadaver!U10,mortality_hhd!U10,mortality_ichd!U10,mortality_live!U10,mortality_pd!U10)</f>
        <v>0</v>
      </c>
      <c r="V10">
        <f>SUM(mortality_cadaver!V10,mortality_hhd!V10,mortality_ichd!V10,mortality_live!V10,mortality_pd!V10)</f>
        <v>0</v>
      </c>
      <c r="W10">
        <f>SUM(mortality_cadaver!W10,mortality_hhd!W10,mortality_ichd!W10,mortality_live!W10,mortality_pd!W10)</f>
        <v>0</v>
      </c>
      <c r="X10">
        <f>SUM(mortality_cadaver!X10,mortality_hhd!X10,mortality_ichd!X10,mortality_live!X10,mortality_pd!X10)</f>
        <v>0</v>
      </c>
      <c r="Y10">
        <f>SUM(mortality_cadaver!Y10,mortality_hhd!Y10,mortality_ichd!Y10,mortality_live!Y10,mortality_pd!Y10)</f>
        <v>0</v>
      </c>
      <c r="Z10">
        <f>SUM(mortality_cadaver!Z10,mortality_hhd!Z10,mortality_ichd!Z10,mortality_live!Z10,mortality_pd!Z10)</f>
        <v>0</v>
      </c>
      <c r="AA10">
        <f>SUM(mortality_cadaver!AA10,mortality_hhd!AA10,mortality_ichd!AA10,mortality_live!AA10,mortality_pd!AA10)</f>
        <v>0</v>
      </c>
      <c r="AB10">
        <f>SUM(mortality_cadaver!AB10,mortality_hhd!AB10,mortality_ichd!AB10,mortality_live!AB10,mortality_pd!AB10)</f>
        <v>0</v>
      </c>
      <c r="AC10">
        <f>SUM(mortality_cadaver!AC10,mortality_hhd!AC10,mortality_ichd!AC10,mortality_live!AC10,mortality_pd!AC10)</f>
        <v>0</v>
      </c>
    </row>
    <row r="11" spans="1:29" x14ac:dyDescent="0.3">
      <c r="A11" s="24">
        <v>10</v>
      </c>
      <c r="B11">
        <f>SUM(mortality_cadaver!B11,mortality_hhd!B11,mortality_ichd!B11,mortality_live!B11,mortality_pd!B11)</f>
        <v>0</v>
      </c>
      <c r="C11">
        <f>SUM(mortality_cadaver!C11,mortality_hhd!C11,mortality_ichd!C11,mortality_live!C11,mortality_pd!C11)</f>
        <v>0</v>
      </c>
      <c r="D11">
        <f>SUM(mortality_cadaver!D11,mortality_hhd!D11,mortality_ichd!D11,mortality_live!D11,mortality_pd!D11)</f>
        <v>0</v>
      </c>
      <c r="E11">
        <f>SUM(mortality_cadaver!E11,mortality_hhd!E11,mortality_ichd!E11,mortality_live!E11,mortality_pd!E11)</f>
        <v>0</v>
      </c>
      <c r="F11">
        <f>SUM(mortality_cadaver!F11,mortality_hhd!F11,mortality_ichd!F11,mortality_live!F11,mortality_pd!F11)</f>
        <v>0</v>
      </c>
      <c r="G11">
        <f>SUM(mortality_cadaver!G11,mortality_hhd!G11,mortality_ichd!G11,mortality_live!G11,mortality_pd!G11)</f>
        <v>0</v>
      </c>
      <c r="H11">
        <f>SUM(mortality_cadaver!H11,mortality_hhd!H11,mortality_ichd!H11,mortality_live!H11,mortality_pd!H11)</f>
        <v>0</v>
      </c>
      <c r="I11">
        <f>SUM(mortality_cadaver!I11,mortality_hhd!I11,mortality_ichd!I11,mortality_live!I11,mortality_pd!I11)</f>
        <v>0</v>
      </c>
      <c r="J11">
        <f>SUM(mortality_cadaver!J11,mortality_hhd!J11,mortality_ichd!J11,mortality_live!J11,mortality_pd!J11)</f>
        <v>0</v>
      </c>
      <c r="K11">
        <f>SUM(mortality_cadaver!K11,mortality_hhd!K11,mortality_ichd!K11,mortality_live!K11,mortality_pd!K11)</f>
        <v>0</v>
      </c>
      <c r="L11">
        <f>SUM(mortality_cadaver!L11,mortality_hhd!L11,mortality_ichd!L11,mortality_live!L11,mortality_pd!L11)</f>
        <v>0</v>
      </c>
      <c r="M11">
        <f>SUM(mortality_cadaver!M11,mortality_hhd!M11,mortality_ichd!M11,mortality_live!M11,mortality_pd!M11)</f>
        <v>0</v>
      </c>
      <c r="N11">
        <f>SUM(mortality_cadaver!N11,mortality_hhd!N11,mortality_ichd!N11,mortality_live!N11,mortality_pd!N11)</f>
        <v>0</v>
      </c>
      <c r="O11">
        <f>SUM(mortality_cadaver!O11,mortality_hhd!O11,mortality_ichd!O11,mortality_live!O11,mortality_pd!O11)</f>
        <v>0</v>
      </c>
      <c r="P11">
        <f>SUM(mortality_cadaver!P11,mortality_hhd!P11,mortality_ichd!P11,mortality_live!P11,mortality_pd!P11)</f>
        <v>0</v>
      </c>
      <c r="Q11">
        <f>SUM(mortality_cadaver!Q11,mortality_hhd!Q11,mortality_ichd!Q11,mortality_live!Q11,mortality_pd!Q11)</f>
        <v>0</v>
      </c>
      <c r="R11">
        <f>SUM(mortality_cadaver!R11,mortality_hhd!R11,mortality_ichd!R11,mortality_live!R11,mortality_pd!R11)</f>
        <v>0</v>
      </c>
      <c r="S11">
        <f>SUM(mortality_cadaver!S11,mortality_hhd!S11,mortality_ichd!S11,mortality_live!S11,mortality_pd!S11)</f>
        <v>0</v>
      </c>
      <c r="T11">
        <f>SUM(mortality_cadaver!T11,mortality_hhd!T11,mortality_ichd!T11,mortality_live!T11,mortality_pd!T11)</f>
        <v>0</v>
      </c>
      <c r="U11">
        <f>SUM(mortality_cadaver!U11,mortality_hhd!U11,mortality_ichd!U11,mortality_live!U11,mortality_pd!U11)</f>
        <v>0</v>
      </c>
      <c r="V11">
        <f>SUM(mortality_cadaver!V11,mortality_hhd!V11,mortality_ichd!V11,mortality_live!V11,mortality_pd!V11)</f>
        <v>0</v>
      </c>
      <c r="W11">
        <f>SUM(mortality_cadaver!W11,mortality_hhd!W11,mortality_ichd!W11,mortality_live!W11,mortality_pd!W11)</f>
        <v>0</v>
      </c>
      <c r="X11">
        <f>SUM(mortality_cadaver!X11,mortality_hhd!X11,mortality_ichd!X11,mortality_live!X11,mortality_pd!X11)</f>
        <v>0</v>
      </c>
      <c r="Y11">
        <f>SUM(mortality_cadaver!Y11,mortality_hhd!Y11,mortality_ichd!Y11,mortality_live!Y11,mortality_pd!Y11)</f>
        <v>0</v>
      </c>
      <c r="Z11">
        <f>SUM(mortality_cadaver!Z11,mortality_hhd!Z11,mortality_ichd!Z11,mortality_live!Z11,mortality_pd!Z11)</f>
        <v>0</v>
      </c>
      <c r="AA11">
        <f>SUM(mortality_cadaver!AA11,mortality_hhd!AA11,mortality_ichd!AA11,mortality_live!AA11,mortality_pd!AA11)</f>
        <v>0</v>
      </c>
      <c r="AB11">
        <f>SUM(mortality_cadaver!AB11,mortality_hhd!AB11,mortality_ichd!AB11,mortality_live!AB11,mortality_pd!AB11)</f>
        <v>0</v>
      </c>
      <c r="AC11">
        <f>SUM(mortality_cadaver!AC11,mortality_hhd!AC11,mortality_ichd!AC11,mortality_live!AC11,mortality_pd!AC11)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10" sqref="A10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742DC-8C03-4FBD-A665-2D20C2E626F5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  <c r="B2">
        <f>SUM(prevalence_cadaver!B2,prevalence_hhd!B2,prevalence_ichd!B2,prevalence_live!B2,prevalence_pd!B2)</f>
        <v>0</v>
      </c>
      <c r="C2">
        <f>SUM(prevalence_cadaver!C2,prevalence_hhd!C2,prevalence_ichd!C2,prevalence_live!C2,prevalence_pd!C2)</f>
        <v>0</v>
      </c>
      <c r="D2">
        <f>SUM(prevalence_cadaver!D2,prevalence_hhd!D2,prevalence_ichd!D2,prevalence_live!D2,prevalence_pd!D2)</f>
        <v>0</v>
      </c>
      <c r="E2">
        <f>SUM(prevalence_cadaver!E2,prevalence_hhd!E2,prevalence_ichd!E2,prevalence_live!E2,prevalence_pd!E2)</f>
        <v>0</v>
      </c>
      <c r="F2">
        <f>SUM(prevalence_cadaver!F2,prevalence_hhd!F2,prevalence_ichd!F2,prevalence_live!F2,prevalence_pd!F2)</f>
        <v>0</v>
      </c>
      <c r="G2">
        <f>SUM(prevalence_cadaver!G2,prevalence_hhd!G2,prevalence_ichd!G2,prevalence_live!G2,prevalence_pd!G2)</f>
        <v>0</v>
      </c>
      <c r="H2">
        <f>SUM(prevalence_cadaver!H2,prevalence_hhd!H2,prevalence_ichd!H2,prevalence_live!H2,prevalence_pd!H2)</f>
        <v>0</v>
      </c>
      <c r="I2">
        <f>SUM(prevalence_cadaver!I2,prevalence_hhd!I2,prevalence_ichd!I2,prevalence_live!I2,prevalence_pd!I2)</f>
        <v>0</v>
      </c>
      <c r="J2">
        <f>SUM(prevalence_cadaver!J2,prevalence_hhd!J2,prevalence_ichd!J2,prevalence_live!J2,prevalence_pd!J2)</f>
        <v>0</v>
      </c>
      <c r="K2">
        <f>SUM(prevalence_cadaver!K2,prevalence_hhd!K2,prevalence_ichd!K2,prevalence_live!K2,prevalence_pd!K2)</f>
        <v>0</v>
      </c>
      <c r="L2">
        <f>SUM(prevalence_cadaver!L2,prevalence_hhd!L2,prevalence_ichd!L2,prevalence_live!L2,prevalence_pd!L2)</f>
        <v>0</v>
      </c>
      <c r="M2">
        <f>SUM(prevalence_cadaver!M2,prevalence_hhd!M2,prevalence_ichd!M2,prevalence_live!M2,prevalence_pd!M2)</f>
        <v>0</v>
      </c>
      <c r="N2">
        <f>SUM(prevalence_cadaver!N2,prevalence_hhd!N2,prevalence_ichd!N2,prevalence_live!N2,prevalence_pd!N2)</f>
        <v>0</v>
      </c>
      <c r="O2">
        <f>SUM(prevalence_cadaver!O2,prevalence_hhd!O2,prevalence_ichd!O2,prevalence_live!O2,prevalence_pd!O2)</f>
        <v>0</v>
      </c>
      <c r="P2">
        <f>SUM(prevalence_cadaver!P2,prevalence_hhd!P2,prevalence_ichd!P2,prevalence_live!P2,prevalence_pd!P2)</f>
        <v>0</v>
      </c>
      <c r="Q2">
        <f>SUM(prevalence_cadaver!Q2,prevalence_hhd!Q2,prevalence_ichd!Q2,prevalence_live!Q2,prevalence_pd!Q2)</f>
        <v>0</v>
      </c>
      <c r="R2">
        <f>SUM(prevalence_cadaver!R2,prevalence_hhd!R2,prevalence_ichd!R2,prevalence_live!R2,prevalence_pd!R2)</f>
        <v>0</v>
      </c>
      <c r="S2">
        <f>SUM(prevalence_cadaver!S2,prevalence_hhd!S2,prevalence_ichd!S2,prevalence_live!S2,prevalence_pd!S2)</f>
        <v>0</v>
      </c>
      <c r="T2">
        <f>SUM(prevalence_cadaver!T2,prevalence_hhd!T2,prevalence_ichd!T2,prevalence_live!T2,prevalence_pd!T2)</f>
        <v>0</v>
      </c>
      <c r="U2">
        <f>SUM(prevalence_cadaver!U2,prevalence_hhd!U2,prevalence_ichd!U2,prevalence_live!U2,prevalence_pd!U2)</f>
        <v>0</v>
      </c>
      <c r="V2">
        <f>SUM(prevalence_cadaver!V2,prevalence_hhd!V2,prevalence_ichd!V2,prevalence_live!V2,prevalence_pd!V2)</f>
        <v>0</v>
      </c>
      <c r="W2">
        <f>SUM(prevalence_cadaver!W2,prevalence_hhd!W2,prevalence_ichd!W2,prevalence_live!W2,prevalence_pd!W2)</f>
        <v>0</v>
      </c>
      <c r="X2">
        <f>SUM(prevalence_cadaver!X2,prevalence_hhd!X2,prevalence_ichd!X2,prevalence_live!X2,prevalence_pd!X2)</f>
        <v>0</v>
      </c>
      <c r="Y2">
        <f>SUM(prevalence_cadaver!Y2,prevalence_hhd!Y2,prevalence_ichd!Y2,prevalence_live!Y2,prevalence_pd!Y2)</f>
        <v>0</v>
      </c>
      <c r="Z2">
        <f>SUM(prevalence_cadaver!Z2,prevalence_hhd!Z2,prevalence_ichd!Z2,prevalence_live!Z2,prevalence_pd!Z2)</f>
        <v>0</v>
      </c>
      <c r="AA2">
        <f>SUM(prevalence_cadaver!AA2,prevalence_hhd!AA2,prevalence_ichd!AA2,prevalence_live!AA2,prevalence_pd!AA2)</f>
        <v>0</v>
      </c>
      <c r="AB2">
        <f>SUM(prevalence_cadaver!AB2,prevalence_hhd!AB2,prevalence_ichd!AB2,prevalence_live!AB2,prevalence_pd!AB2)</f>
        <v>0</v>
      </c>
      <c r="AC2">
        <f>SUM(prevalence_cadaver!AC2,prevalence_hhd!AC2,prevalence_ichd!AC2,prevalence_live!AC2,prevalence_pd!AC2)</f>
        <v>0</v>
      </c>
    </row>
    <row r="3" spans="1:29" x14ac:dyDescent="0.3">
      <c r="A3" s="24">
        <v>2</v>
      </c>
      <c r="B3">
        <f>SUM(prevalence_cadaver!B3,prevalence_hhd!B3,prevalence_ichd!B3,prevalence_live!B3,prevalence_pd!B3)</f>
        <v>0</v>
      </c>
      <c r="C3">
        <f>SUM(prevalence_cadaver!C3,prevalence_hhd!C3,prevalence_ichd!C3,prevalence_live!C3,prevalence_pd!C3)</f>
        <v>0</v>
      </c>
      <c r="D3">
        <f>SUM(prevalence_cadaver!D3,prevalence_hhd!D3,prevalence_ichd!D3,prevalence_live!D3,prevalence_pd!D3)</f>
        <v>0</v>
      </c>
      <c r="E3">
        <f>SUM(prevalence_cadaver!E3,prevalence_hhd!E3,prevalence_ichd!E3,prevalence_live!E3,prevalence_pd!E3)</f>
        <v>0</v>
      </c>
      <c r="F3">
        <f>SUM(prevalence_cadaver!F3,prevalence_hhd!F3,prevalence_ichd!F3,prevalence_live!F3,prevalence_pd!F3)</f>
        <v>0</v>
      </c>
      <c r="G3">
        <f>SUM(prevalence_cadaver!G3,prevalence_hhd!G3,prevalence_ichd!G3,prevalence_live!G3,prevalence_pd!G3)</f>
        <v>0</v>
      </c>
      <c r="H3">
        <f>SUM(prevalence_cadaver!H3,prevalence_hhd!H3,prevalence_ichd!H3,prevalence_live!H3,prevalence_pd!H3)</f>
        <v>0</v>
      </c>
      <c r="I3">
        <f>SUM(prevalence_cadaver!I3,prevalence_hhd!I3,prevalence_ichd!I3,prevalence_live!I3,prevalence_pd!I3)</f>
        <v>0</v>
      </c>
      <c r="J3">
        <f>SUM(prevalence_cadaver!J3,prevalence_hhd!J3,prevalence_ichd!J3,prevalence_live!J3,prevalence_pd!J3)</f>
        <v>0</v>
      </c>
      <c r="K3">
        <f>SUM(prevalence_cadaver!K3,prevalence_hhd!K3,prevalence_ichd!K3,prevalence_live!K3,prevalence_pd!K3)</f>
        <v>0</v>
      </c>
      <c r="L3">
        <f>SUM(prevalence_cadaver!L3,prevalence_hhd!L3,prevalence_ichd!L3,prevalence_live!L3,prevalence_pd!L3)</f>
        <v>0</v>
      </c>
      <c r="M3">
        <f>SUM(prevalence_cadaver!M3,prevalence_hhd!M3,prevalence_ichd!M3,prevalence_live!M3,prevalence_pd!M3)</f>
        <v>0</v>
      </c>
      <c r="N3">
        <f>SUM(prevalence_cadaver!N3,prevalence_hhd!N3,prevalence_ichd!N3,prevalence_live!N3,prevalence_pd!N3)</f>
        <v>0</v>
      </c>
      <c r="O3">
        <f>SUM(prevalence_cadaver!O3,prevalence_hhd!O3,prevalence_ichd!O3,prevalence_live!O3,prevalence_pd!O3)</f>
        <v>0</v>
      </c>
      <c r="P3">
        <f>SUM(prevalence_cadaver!P3,prevalence_hhd!P3,prevalence_ichd!P3,prevalence_live!P3,prevalence_pd!P3)</f>
        <v>0</v>
      </c>
      <c r="Q3">
        <f>SUM(prevalence_cadaver!Q3,prevalence_hhd!Q3,prevalence_ichd!Q3,prevalence_live!Q3,prevalence_pd!Q3)</f>
        <v>0</v>
      </c>
      <c r="R3">
        <f>SUM(prevalence_cadaver!R3,prevalence_hhd!R3,prevalence_ichd!R3,prevalence_live!R3,prevalence_pd!R3)</f>
        <v>0</v>
      </c>
      <c r="S3">
        <f>SUM(prevalence_cadaver!S3,prevalence_hhd!S3,prevalence_ichd!S3,prevalence_live!S3,prevalence_pd!S3)</f>
        <v>0</v>
      </c>
      <c r="T3">
        <f>SUM(prevalence_cadaver!T3,prevalence_hhd!T3,prevalence_ichd!T3,prevalence_live!T3,prevalence_pd!T3)</f>
        <v>0</v>
      </c>
      <c r="U3">
        <f>SUM(prevalence_cadaver!U3,prevalence_hhd!U3,prevalence_ichd!U3,prevalence_live!U3,prevalence_pd!U3)</f>
        <v>0</v>
      </c>
      <c r="V3">
        <f>SUM(prevalence_cadaver!V3,prevalence_hhd!V3,prevalence_ichd!V3,prevalence_live!V3,prevalence_pd!V3)</f>
        <v>0</v>
      </c>
      <c r="W3">
        <f>SUM(prevalence_cadaver!W3,prevalence_hhd!W3,prevalence_ichd!W3,prevalence_live!W3,prevalence_pd!W3)</f>
        <v>0</v>
      </c>
      <c r="X3">
        <f>SUM(prevalence_cadaver!X3,prevalence_hhd!X3,prevalence_ichd!X3,prevalence_live!X3,prevalence_pd!X3)</f>
        <v>0</v>
      </c>
      <c r="Y3">
        <f>SUM(prevalence_cadaver!Y3,prevalence_hhd!Y3,prevalence_ichd!Y3,prevalence_live!Y3,prevalence_pd!Y3)</f>
        <v>0</v>
      </c>
      <c r="Z3">
        <f>SUM(prevalence_cadaver!Z3,prevalence_hhd!Z3,prevalence_ichd!Z3,prevalence_live!Z3,prevalence_pd!Z3)</f>
        <v>0</v>
      </c>
      <c r="AA3">
        <f>SUM(prevalence_cadaver!AA3,prevalence_hhd!AA3,prevalence_ichd!AA3,prevalence_live!AA3,prevalence_pd!AA3)</f>
        <v>0</v>
      </c>
      <c r="AB3">
        <f>SUM(prevalence_cadaver!AB3,prevalence_hhd!AB3,prevalence_ichd!AB3,prevalence_live!AB3,prevalence_pd!AB3)</f>
        <v>0</v>
      </c>
      <c r="AC3">
        <f>SUM(prevalence_cadaver!AC3,prevalence_hhd!AC3,prevalence_ichd!AC3,prevalence_live!AC3,prevalence_pd!AC3)</f>
        <v>0</v>
      </c>
    </row>
    <row r="4" spans="1:29" x14ac:dyDescent="0.3">
      <c r="A4" s="24">
        <v>3</v>
      </c>
      <c r="B4">
        <f>SUM(prevalence_cadaver!B4,prevalence_hhd!B4,prevalence_ichd!B4,prevalence_live!B4,prevalence_pd!B4)</f>
        <v>0</v>
      </c>
      <c r="C4">
        <f>SUM(prevalence_cadaver!C4,prevalence_hhd!C4,prevalence_ichd!C4,prevalence_live!C4,prevalence_pd!C4)</f>
        <v>0</v>
      </c>
      <c r="D4">
        <f>SUM(prevalence_cadaver!D4,prevalence_hhd!D4,prevalence_ichd!D4,prevalence_live!D4,prevalence_pd!D4)</f>
        <v>0</v>
      </c>
      <c r="E4">
        <f>SUM(prevalence_cadaver!E4,prevalence_hhd!E4,prevalence_ichd!E4,prevalence_live!E4,prevalence_pd!E4)</f>
        <v>0</v>
      </c>
      <c r="F4">
        <f>SUM(prevalence_cadaver!F4,prevalence_hhd!F4,prevalence_ichd!F4,prevalence_live!F4,prevalence_pd!F4)</f>
        <v>0</v>
      </c>
      <c r="G4">
        <f>SUM(prevalence_cadaver!G4,prevalence_hhd!G4,prevalence_ichd!G4,prevalence_live!G4,prevalence_pd!G4)</f>
        <v>0</v>
      </c>
      <c r="H4">
        <f>SUM(prevalence_cadaver!H4,prevalence_hhd!H4,prevalence_ichd!H4,prevalence_live!H4,prevalence_pd!H4)</f>
        <v>0</v>
      </c>
      <c r="I4">
        <f>SUM(prevalence_cadaver!I4,prevalence_hhd!I4,prevalence_ichd!I4,prevalence_live!I4,prevalence_pd!I4)</f>
        <v>0</v>
      </c>
      <c r="J4">
        <f>SUM(prevalence_cadaver!J4,prevalence_hhd!J4,prevalence_ichd!J4,prevalence_live!J4,prevalence_pd!J4)</f>
        <v>0</v>
      </c>
      <c r="K4">
        <f>SUM(prevalence_cadaver!K4,prevalence_hhd!K4,prevalence_ichd!K4,prevalence_live!K4,prevalence_pd!K4)</f>
        <v>0</v>
      </c>
      <c r="L4">
        <f>SUM(prevalence_cadaver!L4,prevalence_hhd!L4,prevalence_ichd!L4,prevalence_live!L4,prevalence_pd!L4)</f>
        <v>0</v>
      </c>
      <c r="M4">
        <f>SUM(prevalence_cadaver!M4,prevalence_hhd!M4,prevalence_ichd!M4,prevalence_live!M4,prevalence_pd!M4)</f>
        <v>0</v>
      </c>
      <c r="N4">
        <f>SUM(prevalence_cadaver!N4,prevalence_hhd!N4,prevalence_ichd!N4,prevalence_live!N4,prevalence_pd!N4)</f>
        <v>0</v>
      </c>
      <c r="O4">
        <f>SUM(prevalence_cadaver!O4,prevalence_hhd!O4,prevalence_ichd!O4,prevalence_live!O4,prevalence_pd!O4)</f>
        <v>0</v>
      </c>
      <c r="P4">
        <f>SUM(prevalence_cadaver!P4,prevalence_hhd!P4,prevalence_ichd!P4,prevalence_live!P4,prevalence_pd!P4)</f>
        <v>0</v>
      </c>
      <c r="Q4">
        <f>SUM(prevalence_cadaver!Q4,prevalence_hhd!Q4,prevalence_ichd!Q4,prevalence_live!Q4,prevalence_pd!Q4)</f>
        <v>0</v>
      </c>
      <c r="R4">
        <f>SUM(prevalence_cadaver!R4,prevalence_hhd!R4,prevalence_ichd!R4,prevalence_live!R4,prevalence_pd!R4)</f>
        <v>0</v>
      </c>
      <c r="S4">
        <f>SUM(prevalence_cadaver!S4,prevalence_hhd!S4,prevalence_ichd!S4,prevalence_live!S4,prevalence_pd!S4)</f>
        <v>0</v>
      </c>
      <c r="T4">
        <f>SUM(prevalence_cadaver!T4,prevalence_hhd!T4,prevalence_ichd!T4,prevalence_live!T4,prevalence_pd!T4)</f>
        <v>0</v>
      </c>
      <c r="U4">
        <f>SUM(prevalence_cadaver!U4,prevalence_hhd!U4,prevalence_ichd!U4,prevalence_live!U4,prevalence_pd!U4)</f>
        <v>0</v>
      </c>
      <c r="V4">
        <f>SUM(prevalence_cadaver!V4,prevalence_hhd!V4,prevalence_ichd!V4,prevalence_live!V4,prevalence_pd!V4)</f>
        <v>0</v>
      </c>
      <c r="W4">
        <f>SUM(prevalence_cadaver!W4,prevalence_hhd!W4,prevalence_ichd!W4,prevalence_live!W4,prevalence_pd!W4)</f>
        <v>0</v>
      </c>
      <c r="X4">
        <f>SUM(prevalence_cadaver!X4,prevalence_hhd!X4,prevalence_ichd!X4,prevalence_live!X4,prevalence_pd!X4)</f>
        <v>0</v>
      </c>
      <c r="Y4">
        <f>SUM(prevalence_cadaver!Y4,prevalence_hhd!Y4,prevalence_ichd!Y4,prevalence_live!Y4,prevalence_pd!Y4)</f>
        <v>0</v>
      </c>
      <c r="Z4">
        <f>SUM(prevalence_cadaver!Z4,prevalence_hhd!Z4,prevalence_ichd!Z4,prevalence_live!Z4,prevalence_pd!Z4)</f>
        <v>0</v>
      </c>
      <c r="AA4">
        <f>SUM(prevalence_cadaver!AA4,prevalence_hhd!AA4,prevalence_ichd!AA4,prevalence_live!AA4,prevalence_pd!AA4)</f>
        <v>0</v>
      </c>
      <c r="AB4">
        <f>SUM(prevalence_cadaver!AB4,prevalence_hhd!AB4,prevalence_ichd!AB4,prevalence_live!AB4,prevalence_pd!AB4)</f>
        <v>0</v>
      </c>
      <c r="AC4">
        <f>SUM(prevalence_cadaver!AC4,prevalence_hhd!AC4,prevalence_ichd!AC4,prevalence_live!AC4,prevalence_pd!AC4)</f>
        <v>0</v>
      </c>
    </row>
    <row r="5" spans="1:29" x14ac:dyDescent="0.3">
      <c r="A5" s="24">
        <v>4</v>
      </c>
      <c r="B5">
        <f>SUM(prevalence_cadaver!B5,prevalence_hhd!B5,prevalence_ichd!B5,prevalence_live!B5,prevalence_pd!B5)</f>
        <v>0</v>
      </c>
      <c r="C5">
        <f>SUM(prevalence_cadaver!C5,prevalence_hhd!C5,prevalence_ichd!C5,prevalence_live!C5,prevalence_pd!C5)</f>
        <v>0</v>
      </c>
      <c r="D5">
        <f>SUM(prevalence_cadaver!D5,prevalence_hhd!D5,prevalence_ichd!D5,prevalence_live!D5,prevalence_pd!D5)</f>
        <v>0</v>
      </c>
      <c r="E5">
        <f>SUM(prevalence_cadaver!E5,prevalence_hhd!E5,prevalence_ichd!E5,prevalence_live!E5,prevalence_pd!E5)</f>
        <v>0</v>
      </c>
      <c r="F5">
        <f>SUM(prevalence_cadaver!F5,prevalence_hhd!F5,prevalence_ichd!F5,prevalence_live!F5,prevalence_pd!F5)</f>
        <v>0</v>
      </c>
      <c r="G5">
        <f>SUM(prevalence_cadaver!G5,prevalence_hhd!G5,prevalence_ichd!G5,prevalence_live!G5,prevalence_pd!G5)</f>
        <v>0</v>
      </c>
      <c r="H5">
        <f>SUM(prevalence_cadaver!H5,prevalence_hhd!H5,prevalence_ichd!H5,prevalence_live!H5,prevalence_pd!H5)</f>
        <v>0</v>
      </c>
      <c r="I5">
        <f>SUM(prevalence_cadaver!I5,prevalence_hhd!I5,prevalence_ichd!I5,prevalence_live!I5,prevalence_pd!I5)</f>
        <v>0</v>
      </c>
      <c r="J5">
        <f>SUM(prevalence_cadaver!J5,prevalence_hhd!J5,prevalence_ichd!J5,prevalence_live!J5,prevalence_pd!J5)</f>
        <v>0</v>
      </c>
      <c r="K5">
        <f>SUM(prevalence_cadaver!K5,prevalence_hhd!K5,prevalence_ichd!K5,prevalence_live!K5,prevalence_pd!K5)</f>
        <v>0</v>
      </c>
      <c r="L5">
        <f>SUM(prevalence_cadaver!L5,prevalence_hhd!L5,prevalence_ichd!L5,prevalence_live!L5,prevalence_pd!L5)</f>
        <v>0</v>
      </c>
      <c r="M5">
        <f>SUM(prevalence_cadaver!M5,prevalence_hhd!M5,prevalence_ichd!M5,prevalence_live!M5,prevalence_pd!M5)</f>
        <v>0</v>
      </c>
      <c r="N5">
        <f>SUM(prevalence_cadaver!N5,prevalence_hhd!N5,prevalence_ichd!N5,prevalence_live!N5,prevalence_pd!N5)</f>
        <v>0</v>
      </c>
      <c r="O5">
        <f>SUM(prevalence_cadaver!O5,prevalence_hhd!O5,prevalence_ichd!O5,prevalence_live!O5,prevalence_pd!O5)</f>
        <v>0</v>
      </c>
      <c r="P5">
        <f>SUM(prevalence_cadaver!P5,prevalence_hhd!P5,prevalence_ichd!P5,prevalence_live!P5,prevalence_pd!P5)</f>
        <v>0</v>
      </c>
      <c r="Q5">
        <f>SUM(prevalence_cadaver!Q5,prevalence_hhd!Q5,prevalence_ichd!Q5,prevalence_live!Q5,prevalence_pd!Q5)</f>
        <v>0</v>
      </c>
      <c r="R5">
        <f>SUM(prevalence_cadaver!R5,prevalence_hhd!R5,prevalence_ichd!R5,prevalence_live!R5,prevalence_pd!R5)</f>
        <v>0</v>
      </c>
      <c r="S5">
        <f>SUM(prevalence_cadaver!S5,prevalence_hhd!S5,prevalence_ichd!S5,prevalence_live!S5,prevalence_pd!S5)</f>
        <v>0</v>
      </c>
      <c r="T5">
        <f>SUM(prevalence_cadaver!T5,prevalence_hhd!T5,prevalence_ichd!T5,prevalence_live!T5,prevalence_pd!T5)</f>
        <v>0</v>
      </c>
      <c r="U5">
        <f>SUM(prevalence_cadaver!U5,prevalence_hhd!U5,prevalence_ichd!U5,prevalence_live!U5,prevalence_pd!U5)</f>
        <v>0</v>
      </c>
      <c r="V5">
        <f>SUM(prevalence_cadaver!V5,prevalence_hhd!V5,prevalence_ichd!V5,prevalence_live!V5,prevalence_pd!V5)</f>
        <v>0</v>
      </c>
      <c r="W5">
        <f>SUM(prevalence_cadaver!W5,prevalence_hhd!W5,prevalence_ichd!W5,prevalence_live!W5,prevalence_pd!W5)</f>
        <v>0</v>
      </c>
      <c r="X5">
        <f>SUM(prevalence_cadaver!X5,prevalence_hhd!X5,prevalence_ichd!X5,prevalence_live!X5,prevalence_pd!X5)</f>
        <v>0</v>
      </c>
      <c r="Y5">
        <f>SUM(prevalence_cadaver!Y5,prevalence_hhd!Y5,prevalence_ichd!Y5,prevalence_live!Y5,prevalence_pd!Y5)</f>
        <v>0</v>
      </c>
      <c r="Z5">
        <f>SUM(prevalence_cadaver!Z5,prevalence_hhd!Z5,prevalence_ichd!Z5,prevalence_live!Z5,prevalence_pd!Z5)</f>
        <v>0</v>
      </c>
      <c r="AA5">
        <f>SUM(prevalence_cadaver!AA5,prevalence_hhd!AA5,prevalence_ichd!AA5,prevalence_live!AA5,prevalence_pd!AA5)</f>
        <v>0</v>
      </c>
      <c r="AB5">
        <f>SUM(prevalence_cadaver!AB5,prevalence_hhd!AB5,prevalence_ichd!AB5,prevalence_live!AB5,prevalence_pd!AB5)</f>
        <v>0</v>
      </c>
      <c r="AC5">
        <f>SUM(prevalence_cadaver!AC5,prevalence_hhd!AC5,prevalence_ichd!AC5,prevalence_live!AC5,prevalence_pd!AC5)</f>
        <v>0</v>
      </c>
    </row>
    <row r="6" spans="1:29" x14ac:dyDescent="0.3">
      <c r="A6" s="24">
        <v>5</v>
      </c>
      <c r="B6">
        <f>SUM(prevalence_cadaver!B6,prevalence_hhd!B6,prevalence_ichd!B6,prevalence_live!B6,prevalence_pd!B6)</f>
        <v>0</v>
      </c>
      <c r="C6">
        <f>SUM(prevalence_cadaver!C6,prevalence_hhd!C6,prevalence_ichd!C6,prevalence_live!C6,prevalence_pd!C6)</f>
        <v>0</v>
      </c>
      <c r="D6">
        <f>SUM(prevalence_cadaver!D6,prevalence_hhd!D6,prevalence_ichd!D6,prevalence_live!D6,prevalence_pd!D6)</f>
        <v>0</v>
      </c>
      <c r="E6">
        <f>SUM(prevalence_cadaver!E6,prevalence_hhd!E6,prevalence_ichd!E6,prevalence_live!E6,prevalence_pd!E6)</f>
        <v>0</v>
      </c>
      <c r="F6">
        <f>SUM(prevalence_cadaver!F6,prevalence_hhd!F6,prevalence_ichd!F6,prevalence_live!F6,prevalence_pd!F6)</f>
        <v>0</v>
      </c>
      <c r="G6">
        <f>SUM(prevalence_cadaver!G6,prevalence_hhd!G6,prevalence_ichd!G6,prevalence_live!G6,prevalence_pd!G6)</f>
        <v>0</v>
      </c>
      <c r="H6">
        <f>SUM(prevalence_cadaver!H6,prevalence_hhd!H6,prevalence_ichd!H6,prevalence_live!H6,prevalence_pd!H6)</f>
        <v>0</v>
      </c>
      <c r="I6">
        <f>SUM(prevalence_cadaver!I6,prevalence_hhd!I6,prevalence_ichd!I6,prevalence_live!I6,prevalence_pd!I6)</f>
        <v>0</v>
      </c>
      <c r="J6">
        <f>SUM(prevalence_cadaver!J6,prevalence_hhd!J6,prevalence_ichd!J6,prevalence_live!J6,prevalence_pd!J6)</f>
        <v>0</v>
      </c>
      <c r="K6">
        <f>SUM(prevalence_cadaver!K6,prevalence_hhd!K6,prevalence_ichd!K6,prevalence_live!K6,prevalence_pd!K6)</f>
        <v>0</v>
      </c>
      <c r="L6">
        <f>SUM(prevalence_cadaver!L6,prevalence_hhd!L6,prevalence_ichd!L6,prevalence_live!L6,prevalence_pd!L6)</f>
        <v>0</v>
      </c>
      <c r="M6">
        <f>SUM(prevalence_cadaver!M6,prevalence_hhd!M6,prevalence_ichd!M6,prevalence_live!M6,prevalence_pd!M6)</f>
        <v>0</v>
      </c>
      <c r="N6">
        <f>SUM(prevalence_cadaver!N6,prevalence_hhd!N6,prevalence_ichd!N6,prevalence_live!N6,prevalence_pd!N6)</f>
        <v>0</v>
      </c>
      <c r="O6">
        <f>SUM(prevalence_cadaver!O6,prevalence_hhd!O6,prevalence_ichd!O6,prevalence_live!O6,prevalence_pd!O6)</f>
        <v>0</v>
      </c>
      <c r="P6">
        <f>SUM(prevalence_cadaver!P6,prevalence_hhd!P6,prevalence_ichd!P6,prevalence_live!P6,prevalence_pd!P6)</f>
        <v>0</v>
      </c>
      <c r="Q6">
        <f>SUM(prevalence_cadaver!Q6,prevalence_hhd!Q6,prevalence_ichd!Q6,prevalence_live!Q6,prevalence_pd!Q6)</f>
        <v>0</v>
      </c>
      <c r="R6">
        <f>SUM(prevalence_cadaver!R6,prevalence_hhd!R6,prevalence_ichd!R6,prevalence_live!R6,prevalence_pd!R6)</f>
        <v>0</v>
      </c>
      <c r="S6">
        <f>SUM(prevalence_cadaver!S6,prevalence_hhd!S6,prevalence_ichd!S6,prevalence_live!S6,prevalence_pd!S6)</f>
        <v>0</v>
      </c>
      <c r="T6">
        <f>SUM(prevalence_cadaver!T6,prevalence_hhd!T6,prevalence_ichd!T6,prevalence_live!T6,prevalence_pd!T6)</f>
        <v>0</v>
      </c>
      <c r="U6">
        <f>SUM(prevalence_cadaver!U6,prevalence_hhd!U6,prevalence_ichd!U6,prevalence_live!U6,prevalence_pd!U6)</f>
        <v>0</v>
      </c>
      <c r="V6">
        <f>SUM(prevalence_cadaver!V6,prevalence_hhd!V6,prevalence_ichd!V6,prevalence_live!V6,prevalence_pd!V6)</f>
        <v>0</v>
      </c>
      <c r="W6">
        <f>SUM(prevalence_cadaver!W6,prevalence_hhd!W6,prevalence_ichd!W6,prevalence_live!W6,prevalence_pd!W6)</f>
        <v>0</v>
      </c>
      <c r="X6">
        <f>SUM(prevalence_cadaver!X6,prevalence_hhd!X6,prevalence_ichd!X6,prevalence_live!X6,prevalence_pd!X6)</f>
        <v>0</v>
      </c>
      <c r="Y6">
        <f>SUM(prevalence_cadaver!Y6,prevalence_hhd!Y6,prevalence_ichd!Y6,prevalence_live!Y6,prevalence_pd!Y6)</f>
        <v>0</v>
      </c>
      <c r="Z6">
        <f>SUM(prevalence_cadaver!Z6,prevalence_hhd!Z6,prevalence_ichd!Z6,prevalence_live!Z6,prevalence_pd!Z6)</f>
        <v>0</v>
      </c>
      <c r="AA6">
        <f>SUM(prevalence_cadaver!AA6,prevalence_hhd!AA6,prevalence_ichd!AA6,prevalence_live!AA6,prevalence_pd!AA6)</f>
        <v>0</v>
      </c>
      <c r="AB6">
        <f>SUM(prevalence_cadaver!AB6,prevalence_hhd!AB6,prevalence_ichd!AB6,prevalence_live!AB6,prevalence_pd!AB6)</f>
        <v>0</v>
      </c>
      <c r="AC6">
        <f>SUM(prevalence_cadaver!AC6,prevalence_hhd!AC6,prevalence_ichd!AC6,prevalence_live!AC6,prevalence_pd!AC6)</f>
        <v>0</v>
      </c>
    </row>
    <row r="7" spans="1:29" x14ac:dyDescent="0.3">
      <c r="A7" s="24">
        <v>6</v>
      </c>
      <c r="B7">
        <f>SUM(prevalence_cadaver!B7,prevalence_hhd!B7,prevalence_ichd!B7,prevalence_live!B7,prevalence_pd!B7)</f>
        <v>0</v>
      </c>
      <c r="C7">
        <f>SUM(prevalence_cadaver!C7,prevalence_hhd!C7,prevalence_ichd!C7,prevalence_live!C7,prevalence_pd!C7)</f>
        <v>0</v>
      </c>
      <c r="D7">
        <f>SUM(prevalence_cadaver!D7,prevalence_hhd!D7,prevalence_ichd!D7,prevalence_live!D7,prevalence_pd!D7)</f>
        <v>0</v>
      </c>
      <c r="E7">
        <f>SUM(prevalence_cadaver!E7,prevalence_hhd!E7,prevalence_ichd!E7,prevalence_live!E7,prevalence_pd!E7)</f>
        <v>0</v>
      </c>
      <c r="F7">
        <f>SUM(prevalence_cadaver!F7,prevalence_hhd!F7,prevalence_ichd!F7,prevalence_live!F7,prevalence_pd!F7)</f>
        <v>0</v>
      </c>
      <c r="G7">
        <f>SUM(prevalence_cadaver!G7,prevalence_hhd!G7,prevalence_ichd!G7,prevalence_live!G7,prevalence_pd!G7)</f>
        <v>0</v>
      </c>
      <c r="H7">
        <f>SUM(prevalence_cadaver!H7,prevalence_hhd!H7,prevalence_ichd!H7,prevalence_live!H7,prevalence_pd!H7)</f>
        <v>0</v>
      </c>
      <c r="I7">
        <f>SUM(prevalence_cadaver!I7,prevalence_hhd!I7,prevalence_ichd!I7,prevalence_live!I7,prevalence_pd!I7)</f>
        <v>0</v>
      </c>
      <c r="J7">
        <f>SUM(prevalence_cadaver!J7,prevalence_hhd!J7,prevalence_ichd!J7,prevalence_live!J7,prevalence_pd!J7)</f>
        <v>0</v>
      </c>
      <c r="K7">
        <f>SUM(prevalence_cadaver!K7,prevalence_hhd!K7,prevalence_ichd!K7,prevalence_live!K7,prevalence_pd!K7)</f>
        <v>0</v>
      </c>
      <c r="L7">
        <f>SUM(prevalence_cadaver!L7,prevalence_hhd!L7,prevalence_ichd!L7,prevalence_live!L7,prevalence_pd!L7)</f>
        <v>0</v>
      </c>
      <c r="M7">
        <f>SUM(prevalence_cadaver!M7,prevalence_hhd!M7,prevalence_ichd!M7,prevalence_live!M7,prevalence_pd!M7)</f>
        <v>0</v>
      </c>
      <c r="N7">
        <f>SUM(prevalence_cadaver!N7,prevalence_hhd!N7,prevalence_ichd!N7,prevalence_live!N7,prevalence_pd!N7)</f>
        <v>0</v>
      </c>
      <c r="O7">
        <f>SUM(prevalence_cadaver!O7,prevalence_hhd!O7,prevalence_ichd!O7,prevalence_live!O7,prevalence_pd!O7)</f>
        <v>0</v>
      </c>
      <c r="P7">
        <f>SUM(prevalence_cadaver!P7,prevalence_hhd!P7,prevalence_ichd!P7,prevalence_live!P7,prevalence_pd!P7)</f>
        <v>0</v>
      </c>
      <c r="Q7">
        <f>SUM(prevalence_cadaver!Q7,prevalence_hhd!Q7,prevalence_ichd!Q7,prevalence_live!Q7,prevalence_pd!Q7)</f>
        <v>0</v>
      </c>
      <c r="R7">
        <f>SUM(prevalence_cadaver!R7,prevalence_hhd!R7,prevalence_ichd!R7,prevalence_live!R7,prevalence_pd!R7)</f>
        <v>0</v>
      </c>
      <c r="S7">
        <f>SUM(prevalence_cadaver!S7,prevalence_hhd!S7,prevalence_ichd!S7,prevalence_live!S7,prevalence_pd!S7)</f>
        <v>0</v>
      </c>
      <c r="T7">
        <f>SUM(prevalence_cadaver!T7,prevalence_hhd!T7,prevalence_ichd!T7,prevalence_live!T7,prevalence_pd!T7)</f>
        <v>0</v>
      </c>
      <c r="U7">
        <f>SUM(prevalence_cadaver!U7,prevalence_hhd!U7,prevalence_ichd!U7,prevalence_live!U7,prevalence_pd!U7)</f>
        <v>0</v>
      </c>
      <c r="V7">
        <f>SUM(prevalence_cadaver!V7,prevalence_hhd!V7,prevalence_ichd!V7,prevalence_live!V7,prevalence_pd!V7)</f>
        <v>0</v>
      </c>
      <c r="W7">
        <f>SUM(prevalence_cadaver!W7,prevalence_hhd!W7,prevalence_ichd!W7,prevalence_live!W7,prevalence_pd!W7)</f>
        <v>0</v>
      </c>
      <c r="X7">
        <f>SUM(prevalence_cadaver!X7,prevalence_hhd!X7,prevalence_ichd!X7,prevalence_live!X7,prevalence_pd!X7)</f>
        <v>0</v>
      </c>
      <c r="Y7">
        <f>SUM(prevalence_cadaver!Y7,prevalence_hhd!Y7,prevalence_ichd!Y7,prevalence_live!Y7,prevalence_pd!Y7)</f>
        <v>0</v>
      </c>
      <c r="Z7">
        <f>SUM(prevalence_cadaver!Z7,prevalence_hhd!Z7,prevalence_ichd!Z7,prevalence_live!Z7,prevalence_pd!Z7)</f>
        <v>0</v>
      </c>
      <c r="AA7">
        <f>SUM(prevalence_cadaver!AA7,prevalence_hhd!AA7,prevalence_ichd!AA7,prevalence_live!AA7,prevalence_pd!AA7)</f>
        <v>0</v>
      </c>
      <c r="AB7">
        <f>SUM(prevalence_cadaver!AB7,prevalence_hhd!AB7,prevalence_ichd!AB7,prevalence_live!AB7,prevalence_pd!AB7)</f>
        <v>0</v>
      </c>
      <c r="AC7">
        <f>SUM(prevalence_cadaver!AC7,prevalence_hhd!AC7,prevalence_ichd!AC7,prevalence_live!AC7,prevalence_pd!AC7)</f>
        <v>0</v>
      </c>
    </row>
    <row r="8" spans="1:29" x14ac:dyDescent="0.3">
      <c r="A8" s="24">
        <v>7</v>
      </c>
      <c r="B8">
        <f>SUM(prevalence_cadaver!B8,prevalence_hhd!B8,prevalence_ichd!B8,prevalence_live!B8,prevalence_pd!B8)</f>
        <v>0</v>
      </c>
      <c r="C8">
        <f>SUM(prevalence_cadaver!C8,prevalence_hhd!C8,prevalence_ichd!C8,prevalence_live!C8,prevalence_pd!C8)</f>
        <v>0</v>
      </c>
      <c r="D8">
        <f>SUM(prevalence_cadaver!D8,prevalence_hhd!D8,prevalence_ichd!D8,prevalence_live!D8,prevalence_pd!D8)</f>
        <v>0</v>
      </c>
      <c r="E8">
        <f>SUM(prevalence_cadaver!E8,prevalence_hhd!E8,prevalence_ichd!E8,prevalence_live!E8,prevalence_pd!E8)</f>
        <v>0</v>
      </c>
      <c r="F8">
        <f>SUM(prevalence_cadaver!F8,prevalence_hhd!F8,prevalence_ichd!F8,prevalence_live!F8,prevalence_pd!F8)</f>
        <v>0</v>
      </c>
      <c r="G8">
        <f>SUM(prevalence_cadaver!G8,prevalence_hhd!G8,prevalence_ichd!G8,prevalence_live!G8,prevalence_pd!G8)</f>
        <v>0</v>
      </c>
      <c r="H8">
        <f>SUM(prevalence_cadaver!H8,prevalence_hhd!H8,prevalence_ichd!H8,prevalence_live!H8,prevalence_pd!H8)</f>
        <v>0</v>
      </c>
      <c r="I8">
        <f>SUM(prevalence_cadaver!I8,prevalence_hhd!I8,prevalence_ichd!I8,prevalence_live!I8,prevalence_pd!I8)</f>
        <v>0</v>
      </c>
      <c r="J8">
        <f>SUM(prevalence_cadaver!J8,prevalence_hhd!J8,prevalence_ichd!J8,prevalence_live!J8,prevalence_pd!J8)</f>
        <v>0</v>
      </c>
      <c r="K8">
        <f>SUM(prevalence_cadaver!K8,prevalence_hhd!K8,prevalence_ichd!K8,prevalence_live!K8,prevalence_pd!K8)</f>
        <v>0</v>
      </c>
      <c r="L8">
        <f>SUM(prevalence_cadaver!L8,prevalence_hhd!L8,prevalence_ichd!L8,prevalence_live!L8,prevalence_pd!L8)</f>
        <v>0</v>
      </c>
      <c r="M8">
        <f>SUM(prevalence_cadaver!M8,prevalence_hhd!M8,prevalence_ichd!M8,prevalence_live!M8,prevalence_pd!M8)</f>
        <v>0</v>
      </c>
      <c r="N8">
        <f>SUM(prevalence_cadaver!N8,prevalence_hhd!N8,prevalence_ichd!N8,prevalence_live!N8,prevalence_pd!N8)</f>
        <v>0</v>
      </c>
      <c r="O8">
        <f>SUM(prevalence_cadaver!O8,prevalence_hhd!O8,prevalence_ichd!O8,prevalence_live!O8,prevalence_pd!O8)</f>
        <v>0</v>
      </c>
      <c r="P8">
        <f>SUM(prevalence_cadaver!P8,prevalence_hhd!P8,prevalence_ichd!P8,prevalence_live!P8,prevalence_pd!P8)</f>
        <v>0</v>
      </c>
      <c r="Q8">
        <f>SUM(prevalence_cadaver!Q8,prevalence_hhd!Q8,prevalence_ichd!Q8,prevalence_live!Q8,prevalence_pd!Q8)</f>
        <v>0</v>
      </c>
      <c r="R8">
        <f>SUM(prevalence_cadaver!R8,prevalence_hhd!R8,prevalence_ichd!R8,prevalence_live!R8,prevalence_pd!R8)</f>
        <v>0</v>
      </c>
      <c r="S8">
        <f>SUM(prevalence_cadaver!S8,prevalence_hhd!S8,prevalence_ichd!S8,prevalence_live!S8,prevalence_pd!S8)</f>
        <v>0</v>
      </c>
      <c r="T8">
        <f>SUM(prevalence_cadaver!T8,prevalence_hhd!T8,prevalence_ichd!T8,prevalence_live!T8,prevalence_pd!T8)</f>
        <v>0</v>
      </c>
      <c r="U8">
        <f>SUM(prevalence_cadaver!U8,prevalence_hhd!U8,prevalence_ichd!U8,prevalence_live!U8,prevalence_pd!U8)</f>
        <v>0</v>
      </c>
      <c r="V8">
        <f>SUM(prevalence_cadaver!V8,prevalence_hhd!V8,prevalence_ichd!V8,prevalence_live!V8,prevalence_pd!V8)</f>
        <v>0</v>
      </c>
      <c r="W8">
        <f>SUM(prevalence_cadaver!W8,prevalence_hhd!W8,prevalence_ichd!W8,prevalence_live!W8,prevalence_pd!W8)</f>
        <v>0</v>
      </c>
      <c r="X8">
        <f>SUM(prevalence_cadaver!X8,prevalence_hhd!X8,prevalence_ichd!X8,prevalence_live!X8,prevalence_pd!X8)</f>
        <v>0</v>
      </c>
      <c r="Y8">
        <f>SUM(prevalence_cadaver!Y8,prevalence_hhd!Y8,prevalence_ichd!Y8,prevalence_live!Y8,prevalence_pd!Y8)</f>
        <v>0</v>
      </c>
      <c r="Z8">
        <f>SUM(prevalence_cadaver!Z8,prevalence_hhd!Z8,prevalence_ichd!Z8,prevalence_live!Z8,prevalence_pd!Z8)</f>
        <v>0</v>
      </c>
      <c r="AA8">
        <f>SUM(prevalence_cadaver!AA8,prevalence_hhd!AA8,prevalence_ichd!AA8,prevalence_live!AA8,prevalence_pd!AA8)</f>
        <v>0</v>
      </c>
      <c r="AB8">
        <f>SUM(prevalence_cadaver!AB8,prevalence_hhd!AB8,prevalence_ichd!AB8,prevalence_live!AB8,prevalence_pd!AB8)</f>
        <v>0</v>
      </c>
      <c r="AC8">
        <f>SUM(prevalence_cadaver!AC8,prevalence_hhd!AC8,prevalence_ichd!AC8,prevalence_live!AC8,prevalence_pd!AC8)</f>
        <v>0</v>
      </c>
    </row>
    <row r="9" spans="1:29" x14ac:dyDescent="0.3">
      <c r="A9" s="24">
        <v>8</v>
      </c>
      <c r="B9">
        <f>SUM(prevalence_cadaver!B9,prevalence_hhd!B9,prevalence_ichd!B9,prevalence_live!B9,prevalence_pd!B9)</f>
        <v>0</v>
      </c>
      <c r="C9">
        <f>SUM(prevalence_cadaver!C9,prevalence_hhd!C9,prevalence_ichd!C9,prevalence_live!C9,prevalence_pd!C9)</f>
        <v>0</v>
      </c>
      <c r="D9">
        <f>SUM(prevalence_cadaver!D9,prevalence_hhd!D9,prevalence_ichd!D9,prevalence_live!D9,prevalence_pd!D9)</f>
        <v>0</v>
      </c>
      <c r="E9">
        <f>SUM(prevalence_cadaver!E9,prevalence_hhd!E9,prevalence_ichd!E9,prevalence_live!E9,prevalence_pd!E9)</f>
        <v>0</v>
      </c>
      <c r="F9">
        <f>SUM(prevalence_cadaver!F9,prevalence_hhd!F9,prevalence_ichd!F9,prevalence_live!F9,prevalence_pd!F9)</f>
        <v>0</v>
      </c>
      <c r="G9">
        <f>SUM(prevalence_cadaver!G9,prevalence_hhd!G9,prevalence_ichd!G9,prevalence_live!G9,prevalence_pd!G9)</f>
        <v>0</v>
      </c>
      <c r="H9">
        <f>SUM(prevalence_cadaver!H9,prevalence_hhd!H9,prevalence_ichd!H9,prevalence_live!H9,prevalence_pd!H9)</f>
        <v>0</v>
      </c>
      <c r="I9">
        <f>SUM(prevalence_cadaver!I9,prevalence_hhd!I9,prevalence_ichd!I9,prevalence_live!I9,prevalence_pd!I9)</f>
        <v>0</v>
      </c>
      <c r="J9">
        <f>SUM(prevalence_cadaver!J9,prevalence_hhd!J9,prevalence_ichd!J9,prevalence_live!J9,prevalence_pd!J9)</f>
        <v>0</v>
      </c>
      <c r="K9">
        <f>SUM(prevalence_cadaver!K9,prevalence_hhd!K9,prevalence_ichd!K9,prevalence_live!K9,prevalence_pd!K9)</f>
        <v>0</v>
      </c>
      <c r="L9">
        <f>SUM(prevalence_cadaver!L9,prevalence_hhd!L9,prevalence_ichd!L9,prevalence_live!L9,prevalence_pd!L9)</f>
        <v>0</v>
      </c>
      <c r="M9">
        <f>SUM(prevalence_cadaver!M9,prevalence_hhd!M9,prevalence_ichd!M9,prevalence_live!M9,prevalence_pd!M9)</f>
        <v>0</v>
      </c>
      <c r="N9">
        <f>SUM(prevalence_cadaver!N9,prevalence_hhd!N9,prevalence_ichd!N9,prevalence_live!N9,prevalence_pd!N9)</f>
        <v>0</v>
      </c>
      <c r="O9">
        <f>SUM(prevalence_cadaver!O9,prevalence_hhd!O9,prevalence_ichd!O9,prevalence_live!O9,prevalence_pd!O9)</f>
        <v>0</v>
      </c>
      <c r="P9">
        <f>SUM(prevalence_cadaver!P9,prevalence_hhd!P9,prevalence_ichd!P9,prevalence_live!P9,prevalence_pd!P9)</f>
        <v>0</v>
      </c>
      <c r="Q9">
        <f>SUM(prevalence_cadaver!Q9,prevalence_hhd!Q9,prevalence_ichd!Q9,prevalence_live!Q9,prevalence_pd!Q9)</f>
        <v>0</v>
      </c>
      <c r="R9">
        <f>SUM(prevalence_cadaver!R9,prevalence_hhd!R9,prevalence_ichd!R9,prevalence_live!R9,prevalence_pd!R9)</f>
        <v>0</v>
      </c>
      <c r="S9">
        <f>SUM(prevalence_cadaver!S9,prevalence_hhd!S9,prevalence_ichd!S9,prevalence_live!S9,prevalence_pd!S9)</f>
        <v>0</v>
      </c>
      <c r="T9">
        <f>SUM(prevalence_cadaver!T9,prevalence_hhd!T9,prevalence_ichd!T9,prevalence_live!T9,prevalence_pd!T9)</f>
        <v>0</v>
      </c>
      <c r="U9">
        <f>SUM(prevalence_cadaver!U9,prevalence_hhd!U9,prevalence_ichd!U9,prevalence_live!U9,prevalence_pd!U9)</f>
        <v>0</v>
      </c>
      <c r="V9">
        <f>SUM(prevalence_cadaver!V9,prevalence_hhd!V9,prevalence_ichd!V9,prevalence_live!V9,prevalence_pd!V9)</f>
        <v>0</v>
      </c>
      <c r="W9">
        <f>SUM(prevalence_cadaver!W9,prevalence_hhd!W9,prevalence_ichd!W9,prevalence_live!W9,prevalence_pd!W9)</f>
        <v>0</v>
      </c>
      <c r="X9">
        <f>SUM(prevalence_cadaver!X9,prevalence_hhd!X9,prevalence_ichd!X9,prevalence_live!X9,prevalence_pd!X9)</f>
        <v>0</v>
      </c>
      <c r="Y9">
        <f>SUM(prevalence_cadaver!Y9,prevalence_hhd!Y9,prevalence_ichd!Y9,prevalence_live!Y9,prevalence_pd!Y9)</f>
        <v>0</v>
      </c>
      <c r="Z9">
        <f>SUM(prevalence_cadaver!Z9,prevalence_hhd!Z9,prevalence_ichd!Z9,prevalence_live!Z9,prevalence_pd!Z9)</f>
        <v>0</v>
      </c>
      <c r="AA9">
        <f>SUM(prevalence_cadaver!AA9,prevalence_hhd!AA9,prevalence_ichd!AA9,prevalence_live!AA9,prevalence_pd!AA9)</f>
        <v>0</v>
      </c>
      <c r="AB9">
        <f>SUM(prevalence_cadaver!AB9,prevalence_hhd!AB9,prevalence_ichd!AB9,prevalence_live!AB9,prevalence_pd!AB9)</f>
        <v>0</v>
      </c>
      <c r="AC9">
        <f>SUM(prevalence_cadaver!AC9,prevalence_hhd!AC9,prevalence_ichd!AC9,prevalence_live!AC9,prevalence_pd!AC9)</f>
        <v>0</v>
      </c>
    </row>
    <row r="10" spans="1:29" x14ac:dyDescent="0.3">
      <c r="A10" s="24">
        <v>9</v>
      </c>
      <c r="B10">
        <f>SUM(prevalence_cadaver!B10,prevalence_hhd!B10,prevalence_ichd!B10,prevalence_live!B10,prevalence_pd!B10)</f>
        <v>0</v>
      </c>
      <c r="C10">
        <f>SUM(prevalence_cadaver!C10,prevalence_hhd!C10,prevalence_ichd!C10,prevalence_live!C10,prevalence_pd!C10)</f>
        <v>0</v>
      </c>
      <c r="D10">
        <f>SUM(prevalence_cadaver!D10,prevalence_hhd!D10,prevalence_ichd!D10,prevalence_live!D10,prevalence_pd!D10)</f>
        <v>0</v>
      </c>
      <c r="E10">
        <f>SUM(prevalence_cadaver!E10,prevalence_hhd!E10,prevalence_ichd!E10,prevalence_live!E10,prevalence_pd!E10)</f>
        <v>0</v>
      </c>
      <c r="F10">
        <f>SUM(prevalence_cadaver!F10,prevalence_hhd!F10,prevalence_ichd!F10,prevalence_live!F10,prevalence_pd!F10)</f>
        <v>0</v>
      </c>
      <c r="G10">
        <f>SUM(prevalence_cadaver!G10,prevalence_hhd!G10,prevalence_ichd!G10,prevalence_live!G10,prevalence_pd!G10)</f>
        <v>0</v>
      </c>
      <c r="H10">
        <f>SUM(prevalence_cadaver!H10,prevalence_hhd!H10,prevalence_ichd!H10,prevalence_live!H10,prevalence_pd!H10)</f>
        <v>0</v>
      </c>
      <c r="I10">
        <f>SUM(prevalence_cadaver!I10,prevalence_hhd!I10,prevalence_ichd!I10,prevalence_live!I10,prevalence_pd!I10)</f>
        <v>0</v>
      </c>
      <c r="J10">
        <f>SUM(prevalence_cadaver!J10,prevalence_hhd!J10,prevalence_ichd!J10,prevalence_live!J10,prevalence_pd!J10)</f>
        <v>0</v>
      </c>
      <c r="K10">
        <f>SUM(prevalence_cadaver!K10,prevalence_hhd!K10,prevalence_ichd!K10,prevalence_live!K10,prevalence_pd!K10)</f>
        <v>0</v>
      </c>
      <c r="L10">
        <f>SUM(prevalence_cadaver!L10,prevalence_hhd!L10,prevalence_ichd!L10,prevalence_live!L10,prevalence_pd!L10)</f>
        <v>0</v>
      </c>
      <c r="M10">
        <f>SUM(prevalence_cadaver!M10,prevalence_hhd!M10,prevalence_ichd!M10,prevalence_live!M10,prevalence_pd!M10)</f>
        <v>0</v>
      </c>
      <c r="N10">
        <f>SUM(prevalence_cadaver!N10,prevalence_hhd!N10,prevalence_ichd!N10,prevalence_live!N10,prevalence_pd!N10)</f>
        <v>0</v>
      </c>
      <c r="O10">
        <f>SUM(prevalence_cadaver!O10,prevalence_hhd!O10,prevalence_ichd!O10,prevalence_live!O10,prevalence_pd!O10)</f>
        <v>0</v>
      </c>
      <c r="P10">
        <f>SUM(prevalence_cadaver!P10,prevalence_hhd!P10,prevalence_ichd!P10,prevalence_live!P10,prevalence_pd!P10)</f>
        <v>0</v>
      </c>
      <c r="Q10">
        <f>SUM(prevalence_cadaver!Q10,prevalence_hhd!Q10,prevalence_ichd!Q10,prevalence_live!Q10,prevalence_pd!Q10)</f>
        <v>0</v>
      </c>
      <c r="R10">
        <f>SUM(prevalence_cadaver!R10,prevalence_hhd!R10,prevalence_ichd!R10,prevalence_live!R10,prevalence_pd!R10)</f>
        <v>0</v>
      </c>
      <c r="S10">
        <f>SUM(prevalence_cadaver!S10,prevalence_hhd!S10,prevalence_ichd!S10,prevalence_live!S10,prevalence_pd!S10)</f>
        <v>0</v>
      </c>
      <c r="T10">
        <f>SUM(prevalence_cadaver!T10,prevalence_hhd!T10,prevalence_ichd!T10,prevalence_live!T10,prevalence_pd!T10)</f>
        <v>0</v>
      </c>
      <c r="U10">
        <f>SUM(prevalence_cadaver!U10,prevalence_hhd!U10,prevalence_ichd!U10,prevalence_live!U10,prevalence_pd!U10)</f>
        <v>0</v>
      </c>
      <c r="V10">
        <f>SUM(prevalence_cadaver!V10,prevalence_hhd!V10,prevalence_ichd!V10,prevalence_live!V10,prevalence_pd!V10)</f>
        <v>0</v>
      </c>
      <c r="W10">
        <f>SUM(prevalence_cadaver!W10,prevalence_hhd!W10,prevalence_ichd!W10,prevalence_live!W10,prevalence_pd!W10)</f>
        <v>0</v>
      </c>
      <c r="X10">
        <f>SUM(prevalence_cadaver!X10,prevalence_hhd!X10,prevalence_ichd!X10,prevalence_live!X10,prevalence_pd!X10)</f>
        <v>0</v>
      </c>
      <c r="Y10">
        <f>SUM(prevalence_cadaver!Y10,prevalence_hhd!Y10,prevalence_ichd!Y10,prevalence_live!Y10,prevalence_pd!Y10)</f>
        <v>0</v>
      </c>
      <c r="Z10">
        <f>SUM(prevalence_cadaver!Z10,prevalence_hhd!Z10,prevalence_ichd!Z10,prevalence_live!Z10,prevalence_pd!Z10)</f>
        <v>0</v>
      </c>
      <c r="AA10">
        <f>SUM(prevalence_cadaver!AA10,prevalence_hhd!AA10,prevalence_ichd!AA10,prevalence_live!AA10,prevalence_pd!AA10)</f>
        <v>0</v>
      </c>
      <c r="AB10">
        <f>SUM(prevalence_cadaver!AB10,prevalence_hhd!AB10,prevalence_ichd!AB10,prevalence_live!AB10,prevalence_pd!AB10)</f>
        <v>0</v>
      </c>
      <c r="AC10">
        <f>SUM(prevalence_cadaver!AC10,prevalence_hhd!AC10,prevalence_ichd!AC10,prevalence_live!AC10,prevalence_pd!AC10)</f>
        <v>0</v>
      </c>
    </row>
    <row r="11" spans="1:29" x14ac:dyDescent="0.3">
      <c r="A11" s="24">
        <v>10</v>
      </c>
      <c r="B11">
        <f>SUM(prevalence_cadaver!B11,prevalence_hhd!B11,prevalence_ichd!B11,prevalence_live!B11,prevalence_pd!B11)</f>
        <v>0</v>
      </c>
      <c r="C11">
        <f>SUM(prevalence_cadaver!C11,prevalence_hhd!C11,prevalence_ichd!C11,prevalence_live!C11,prevalence_pd!C11)</f>
        <v>0</v>
      </c>
      <c r="D11">
        <f>SUM(prevalence_cadaver!D11,prevalence_hhd!D11,prevalence_ichd!D11,prevalence_live!D11,prevalence_pd!D11)</f>
        <v>0</v>
      </c>
      <c r="E11">
        <f>SUM(prevalence_cadaver!E11,prevalence_hhd!E11,prevalence_ichd!E11,prevalence_live!E11,prevalence_pd!E11)</f>
        <v>0</v>
      </c>
      <c r="F11">
        <f>SUM(prevalence_cadaver!F11,prevalence_hhd!F11,prevalence_ichd!F11,prevalence_live!F11,prevalence_pd!F11)</f>
        <v>0</v>
      </c>
      <c r="G11">
        <f>SUM(prevalence_cadaver!G11,prevalence_hhd!G11,prevalence_ichd!G11,prevalence_live!G11,prevalence_pd!G11)</f>
        <v>0</v>
      </c>
      <c r="H11">
        <f>SUM(prevalence_cadaver!H11,prevalence_hhd!H11,prevalence_ichd!H11,prevalence_live!H11,prevalence_pd!H11)</f>
        <v>0</v>
      </c>
      <c r="I11">
        <f>SUM(prevalence_cadaver!I11,prevalence_hhd!I11,prevalence_ichd!I11,prevalence_live!I11,prevalence_pd!I11)</f>
        <v>0</v>
      </c>
      <c r="J11">
        <f>SUM(prevalence_cadaver!J11,prevalence_hhd!J11,prevalence_ichd!J11,prevalence_live!J11,prevalence_pd!J11)</f>
        <v>0</v>
      </c>
      <c r="K11">
        <f>SUM(prevalence_cadaver!K11,prevalence_hhd!K11,prevalence_ichd!K11,prevalence_live!K11,prevalence_pd!K11)</f>
        <v>0</v>
      </c>
      <c r="L11">
        <f>SUM(prevalence_cadaver!L11,prevalence_hhd!L11,prevalence_ichd!L11,prevalence_live!L11,prevalence_pd!L11)</f>
        <v>0</v>
      </c>
      <c r="M11">
        <f>SUM(prevalence_cadaver!M11,prevalence_hhd!M11,prevalence_ichd!M11,prevalence_live!M11,prevalence_pd!M11)</f>
        <v>0</v>
      </c>
      <c r="N11">
        <f>SUM(prevalence_cadaver!N11,prevalence_hhd!N11,prevalence_ichd!N11,prevalence_live!N11,prevalence_pd!N11)</f>
        <v>0</v>
      </c>
      <c r="O11">
        <f>SUM(prevalence_cadaver!O11,prevalence_hhd!O11,prevalence_ichd!O11,prevalence_live!O11,prevalence_pd!O11)</f>
        <v>0</v>
      </c>
      <c r="P11">
        <f>SUM(prevalence_cadaver!P11,prevalence_hhd!P11,prevalence_ichd!P11,prevalence_live!P11,prevalence_pd!P11)</f>
        <v>0</v>
      </c>
      <c r="Q11">
        <f>SUM(prevalence_cadaver!Q11,prevalence_hhd!Q11,prevalence_ichd!Q11,prevalence_live!Q11,prevalence_pd!Q11)</f>
        <v>0</v>
      </c>
      <c r="R11">
        <f>SUM(prevalence_cadaver!R11,prevalence_hhd!R11,prevalence_ichd!R11,prevalence_live!R11,prevalence_pd!R11)</f>
        <v>0</v>
      </c>
      <c r="S11">
        <f>SUM(prevalence_cadaver!S11,prevalence_hhd!S11,prevalence_ichd!S11,prevalence_live!S11,prevalence_pd!S11)</f>
        <v>0</v>
      </c>
      <c r="T11">
        <f>SUM(prevalence_cadaver!T11,prevalence_hhd!T11,prevalence_ichd!T11,prevalence_live!T11,prevalence_pd!T11)</f>
        <v>0</v>
      </c>
      <c r="U11">
        <f>SUM(prevalence_cadaver!U11,prevalence_hhd!U11,prevalence_ichd!U11,prevalence_live!U11,prevalence_pd!U11)</f>
        <v>0</v>
      </c>
      <c r="V11">
        <f>SUM(prevalence_cadaver!V11,prevalence_hhd!V11,prevalence_ichd!V11,prevalence_live!V11,prevalence_pd!V11)</f>
        <v>0</v>
      </c>
      <c r="W11">
        <f>SUM(prevalence_cadaver!W11,prevalence_hhd!W11,prevalence_ichd!W11,prevalence_live!W11,prevalence_pd!W11)</f>
        <v>0</v>
      </c>
      <c r="X11">
        <f>SUM(prevalence_cadaver!X11,prevalence_hhd!X11,prevalence_ichd!X11,prevalence_live!X11,prevalence_pd!X11)</f>
        <v>0</v>
      </c>
      <c r="Y11">
        <f>SUM(prevalence_cadaver!Y11,prevalence_hhd!Y11,prevalence_ichd!Y11,prevalence_live!Y11,prevalence_pd!Y11)</f>
        <v>0</v>
      </c>
      <c r="Z11">
        <f>SUM(prevalence_cadaver!Z11,prevalence_hhd!Z11,prevalence_ichd!Z11,prevalence_live!Z11,prevalence_pd!Z11)</f>
        <v>0</v>
      </c>
      <c r="AA11">
        <f>SUM(prevalence_cadaver!AA11,prevalence_hhd!AA11,prevalence_ichd!AA11,prevalence_live!AA11,prevalence_pd!AA11)</f>
        <v>0</v>
      </c>
      <c r="AB11">
        <f>SUM(prevalence_cadaver!AB11,prevalence_hhd!AB11,prevalence_ichd!AB11,prevalence_live!AB11,prevalence_pd!AB11)</f>
        <v>0</v>
      </c>
      <c r="AC11">
        <f>SUM(prevalence_cadaver!AC11,prevalence_hhd!AC11,prevalence_ichd!AC11,prevalence_live!AC11,prevalence_pd!AC11)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11"/>
  <sheetViews>
    <sheetView workbookViewId="0">
      <selection activeCell="B2" sqref="B2:AD17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11"/>
  <sheetViews>
    <sheetView workbookViewId="0">
      <selection activeCell="B2" sqref="B2:AC11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D461-BE09-4BB5-9B37-A453368804AE}">
  <dimension ref="A1:N11"/>
  <sheetViews>
    <sheetView workbookViewId="0">
      <selection activeCell="B2" sqref="B2:AD16"/>
    </sheetView>
  </sheetViews>
  <sheetFormatPr defaultRowHeight="14.4" x14ac:dyDescent="0.3"/>
  <sheetData>
    <row r="1" spans="1:14" x14ac:dyDescent="0.3">
      <c r="A1" s="32" t="s">
        <v>34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</row>
    <row r="2" spans="1:14" x14ac:dyDescent="0.3">
      <c r="A2" s="32">
        <v>1</v>
      </c>
    </row>
    <row r="3" spans="1:14" x14ac:dyDescent="0.3">
      <c r="A3" s="32">
        <v>2</v>
      </c>
    </row>
    <row r="4" spans="1:14" x14ac:dyDescent="0.3">
      <c r="A4" s="32">
        <v>3</v>
      </c>
    </row>
    <row r="5" spans="1:14" x14ac:dyDescent="0.3">
      <c r="A5" s="32">
        <v>4</v>
      </c>
    </row>
    <row r="6" spans="1:14" x14ac:dyDescent="0.3">
      <c r="A6" s="32">
        <v>5</v>
      </c>
    </row>
    <row r="7" spans="1:14" x14ac:dyDescent="0.3">
      <c r="A7" s="32">
        <v>6</v>
      </c>
    </row>
    <row r="8" spans="1:14" x14ac:dyDescent="0.3">
      <c r="A8" s="32">
        <v>7</v>
      </c>
    </row>
    <row r="9" spans="1:14" x14ac:dyDescent="0.3">
      <c r="A9" s="32">
        <v>8</v>
      </c>
    </row>
    <row r="10" spans="1:14" x14ac:dyDescent="0.3">
      <c r="A10" s="32">
        <v>9</v>
      </c>
    </row>
    <row r="11" spans="1:14" x14ac:dyDescent="0.3">
      <c r="A11" s="32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3A396-90EC-4B0D-A892-1678945A0F8C}">
  <dimension ref="A1:N11"/>
  <sheetViews>
    <sheetView workbookViewId="0">
      <selection activeCell="B2" sqref="B2:AD16"/>
    </sheetView>
  </sheetViews>
  <sheetFormatPr defaultRowHeight="14.4" x14ac:dyDescent="0.3"/>
  <sheetData>
    <row r="1" spans="1:14" x14ac:dyDescent="0.3">
      <c r="A1" s="32" t="s">
        <v>34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</row>
    <row r="2" spans="1:14" x14ac:dyDescent="0.3">
      <c r="A2" s="32">
        <v>1</v>
      </c>
    </row>
    <row r="3" spans="1:14" x14ac:dyDescent="0.3">
      <c r="A3" s="32">
        <v>2</v>
      </c>
    </row>
    <row r="4" spans="1:14" x14ac:dyDescent="0.3">
      <c r="A4" s="32">
        <v>3</v>
      </c>
    </row>
    <row r="5" spans="1:14" x14ac:dyDescent="0.3">
      <c r="A5" s="32">
        <v>4</v>
      </c>
    </row>
    <row r="6" spans="1:14" x14ac:dyDescent="0.3">
      <c r="A6" s="32">
        <v>5</v>
      </c>
    </row>
    <row r="7" spans="1:14" x14ac:dyDescent="0.3">
      <c r="A7" s="32">
        <v>6</v>
      </c>
    </row>
    <row r="8" spans="1:14" x14ac:dyDescent="0.3">
      <c r="A8" s="32">
        <v>7</v>
      </c>
    </row>
    <row r="9" spans="1:14" x14ac:dyDescent="0.3">
      <c r="A9" s="32">
        <v>8</v>
      </c>
    </row>
    <row r="10" spans="1:14" x14ac:dyDescent="0.3">
      <c r="A10" s="32">
        <v>9</v>
      </c>
    </row>
    <row r="11" spans="1:14" x14ac:dyDescent="0.3">
      <c r="A11" s="32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B746-F5CA-499B-9E00-B7CE50303E95}">
  <dimension ref="A1:N11"/>
  <sheetViews>
    <sheetView workbookViewId="0">
      <selection activeCell="B2" sqref="B2:AD16"/>
    </sheetView>
  </sheetViews>
  <sheetFormatPr defaultRowHeight="14.4" x14ac:dyDescent="0.3"/>
  <sheetData>
    <row r="1" spans="1:14" x14ac:dyDescent="0.3">
      <c r="A1" s="32" t="s">
        <v>34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</row>
    <row r="2" spans="1:14" x14ac:dyDescent="0.3">
      <c r="A2" s="32">
        <v>1</v>
      </c>
    </row>
    <row r="3" spans="1:14" x14ac:dyDescent="0.3">
      <c r="A3" s="32">
        <v>2</v>
      </c>
    </row>
    <row r="4" spans="1:14" x14ac:dyDescent="0.3">
      <c r="A4" s="32">
        <v>3</v>
      </c>
    </row>
    <row r="5" spans="1:14" x14ac:dyDescent="0.3">
      <c r="A5" s="32">
        <v>4</v>
      </c>
    </row>
    <row r="6" spans="1:14" x14ac:dyDescent="0.3">
      <c r="A6" s="32">
        <v>5</v>
      </c>
    </row>
    <row r="7" spans="1:14" x14ac:dyDescent="0.3">
      <c r="A7" s="32">
        <v>6</v>
      </c>
    </row>
    <row r="8" spans="1:14" x14ac:dyDescent="0.3">
      <c r="A8" s="32">
        <v>7</v>
      </c>
    </row>
    <row r="9" spans="1:14" x14ac:dyDescent="0.3">
      <c r="A9" s="32">
        <v>8</v>
      </c>
    </row>
    <row r="10" spans="1:14" x14ac:dyDescent="0.3">
      <c r="A10" s="32">
        <v>9</v>
      </c>
    </row>
    <row r="11" spans="1:14" x14ac:dyDescent="0.3">
      <c r="A11" s="32">
        <v>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4E2-C080-4862-9433-879DCDA58253}">
  <dimension ref="A1:N11"/>
  <sheetViews>
    <sheetView workbookViewId="0">
      <selection activeCell="B2" sqref="B2:AD16"/>
    </sheetView>
  </sheetViews>
  <sheetFormatPr defaultRowHeight="14.4" x14ac:dyDescent="0.3"/>
  <sheetData>
    <row r="1" spans="1:14" x14ac:dyDescent="0.3">
      <c r="A1" s="32" t="s">
        <v>34</v>
      </c>
      <c r="B1" s="32">
        <v>1</v>
      </c>
      <c r="C1" s="32">
        <v>2</v>
      </c>
      <c r="D1" s="32">
        <v>3</v>
      </c>
      <c r="E1" s="32">
        <v>4</v>
      </c>
      <c r="F1" s="32">
        <v>5</v>
      </c>
      <c r="G1" s="32">
        <v>6</v>
      </c>
      <c r="H1" s="32">
        <v>7</v>
      </c>
      <c r="I1" s="32">
        <v>8</v>
      </c>
      <c r="J1" s="32">
        <v>9</v>
      </c>
      <c r="K1" s="32">
        <v>10</v>
      </c>
      <c r="L1" s="32">
        <v>11</v>
      </c>
      <c r="M1" s="32">
        <v>12</v>
      </c>
      <c r="N1" s="32">
        <v>13</v>
      </c>
    </row>
    <row r="2" spans="1:14" x14ac:dyDescent="0.3">
      <c r="A2" s="32">
        <v>1</v>
      </c>
    </row>
    <row r="3" spans="1:14" x14ac:dyDescent="0.3">
      <c r="A3" s="32">
        <v>2</v>
      </c>
    </row>
    <row r="4" spans="1:14" x14ac:dyDescent="0.3">
      <c r="A4" s="32">
        <v>3</v>
      </c>
    </row>
    <row r="5" spans="1:14" x14ac:dyDescent="0.3">
      <c r="A5" s="32">
        <v>4</v>
      </c>
    </row>
    <row r="6" spans="1:14" x14ac:dyDescent="0.3">
      <c r="A6" s="32">
        <v>5</v>
      </c>
    </row>
    <row r="7" spans="1:14" x14ac:dyDescent="0.3">
      <c r="A7" s="32">
        <v>6</v>
      </c>
    </row>
    <row r="8" spans="1:14" x14ac:dyDescent="0.3">
      <c r="A8" s="32">
        <v>7</v>
      </c>
    </row>
    <row r="9" spans="1:14" x14ac:dyDescent="0.3">
      <c r="A9" s="32">
        <v>8</v>
      </c>
    </row>
    <row r="10" spans="1:14" x14ac:dyDescent="0.3">
      <c r="A10" s="32">
        <v>9</v>
      </c>
    </row>
    <row r="11" spans="1:14" x14ac:dyDescent="0.3">
      <c r="A11" s="32">
        <v>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11"/>
  <sheetViews>
    <sheetView workbookViewId="0">
      <selection activeCell="B2" sqref="B2:AD16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C11"/>
  <sheetViews>
    <sheetView workbookViewId="0">
      <selection activeCell="B2" sqref="B2:AD16"/>
    </sheetView>
  </sheetViews>
  <sheetFormatPr defaultRowHeight="14.4" x14ac:dyDescent="0.3"/>
  <sheetData>
    <row r="1" spans="1:29" x14ac:dyDescent="0.3">
      <c r="A1" s="24" t="s">
        <v>34</v>
      </c>
      <c r="B1" s="24">
        <v>0</v>
      </c>
      <c r="C1" s="24">
        <v>1</v>
      </c>
      <c r="D1" s="24">
        <v>2</v>
      </c>
      <c r="E1" s="24">
        <v>3</v>
      </c>
      <c r="F1" s="24">
        <v>4</v>
      </c>
      <c r="G1" s="24">
        <v>5</v>
      </c>
      <c r="H1" s="24">
        <v>6</v>
      </c>
      <c r="I1" s="24">
        <v>7</v>
      </c>
      <c r="J1" s="24">
        <v>8</v>
      </c>
      <c r="K1" s="24">
        <v>9</v>
      </c>
      <c r="L1" s="24">
        <v>10</v>
      </c>
      <c r="M1" s="24">
        <v>11</v>
      </c>
      <c r="N1" s="24">
        <v>12</v>
      </c>
      <c r="O1" s="24">
        <v>13</v>
      </c>
      <c r="P1" s="24">
        <v>14</v>
      </c>
      <c r="Q1" s="24">
        <v>15</v>
      </c>
      <c r="R1" s="24">
        <v>16</v>
      </c>
      <c r="S1" s="24">
        <v>17</v>
      </c>
      <c r="T1" s="24">
        <v>18</v>
      </c>
      <c r="U1" s="24">
        <v>19</v>
      </c>
      <c r="V1" s="24">
        <v>20</v>
      </c>
      <c r="W1" s="24">
        <v>21</v>
      </c>
      <c r="X1" s="24">
        <v>22</v>
      </c>
      <c r="Y1" s="24">
        <v>23</v>
      </c>
      <c r="Z1" s="24">
        <v>24</v>
      </c>
      <c r="AA1" s="24">
        <v>25</v>
      </c>
      <c r="AB1" s="24">
        <v>26</v>
      </c>
      <c r="AC1" s="24">
        <v>27</v>
      </c>
    </row>
    <row r="2" spans="1:29" x14ac:dyDescent="0.3">
      <c r="A2" s="24">
        <v>1</v>
      </c>
    </row>
    <row r="3" spans="1:29" x14ac:dyDescent="0.3">
      <c r="A3" s="24">
        <v>2</v>
      </c>
    </row>
    <row r="4" spans="1:29" x14ac:dyDescent="0.3">
      <c r="A4" s="24">
        <v>3</v>
      </c>
    </row>
    <row r="5" spans="1:29" x14ac:dyDescent="0.3">
      <c r="A5" s="24">
        <v>4</v>
      </c>
    </row>
    <row r="6" spans="1:29" x14ac:dyDescent="0.3">
      <c r="A6" s="24">
        <v>5</v>
      </c>
    </row>
    <row r="7" spans="1:29" x14ac:dyDescent="0.3">
      <c r="A7" s="24">
        <v>6</v>
      </c>
    </row>
    <row r="8" spans="1:29" x14ac:dyDescent="0.3">
      <c r="A8" s="24">
        <v>7</v>
      </c>
    </row>
    <row r="9" spans="1:29" x14ac:dyDescent="0.3">
      <c r="A9" s="24">
        <v>8</v>
      </c>
    </row>
    <row r="10" spans="1:29" x14ac:dyDescent="0.3">
      <c r="A10" s="24">
        <v>9</v>
      </c>
    </row>
    <row r="11" spans="1:29" x14ac:dyDescent="0.3">
      <c r="A11" s="24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Experiment Summary</vt:lpstr>
      <vt:lpstr>Summary Stats</vt:lpstr>
      <vt:lpstr>Summary_Cost</vt:lpstr>
      <vt:lpstr>incidence_cadaver</vt:lpstr>
      <vt:lpstr>incidence_conservative_care</vt:lpstr>
      <vt:lpstr>incidence_hhd</vt:lpstr>
      <vt:lpstr>incidence_ichd</vt:lpstr>
      <vt:lpstr>incidence_live</vt:lpstr>
      <vt:lpstr>incidence_pd</vt:lpstr>
      <vt:lpstr>mortality_total</vt:lpstr>
      <vt:lpstr>mortality_cadaver</vt:lpstr>
      <vt:lpstr>mortality_conservative_care</vt:lpstr>
      <vt:lpstr>mortality_hhd</vt:lpstr>
      <vt:lpstr>mortality_ichd</vt:lpstr>
      <vt:lpstr>mortality_live</vt:lpstr>
      <vt:lpstr>mortality_pd</vt:lpstr>
      <vt:lpstr>prevalence_total</vt:lpstr>
      <vt:lpstr>prevalence_cadaver</vt:lpstr>
      <vt:lpstr>prevalence_conservative_care</vt:lpstr>
      <vt:lpstr>prevalence_hhd</vt:lpstr>
      <vt:lpstr>prevalence_ichd</vt:lpstr>
      <vt:lpstr>prevalence_live</vt:lpstr>
      <vt:lpstr>prevalence_pd</vt:lpstr>
      <vt:lpstr>ichd_yearly</vt:lpstr>
      <vt:lpstr>hhd_yearly</vt:lpstr>
      <vt:lpstr>pd_yearly</vt:lpstr>
      <vt:lpstr>transplant_yearly</vt:lpstr>
      <vt:lpstr>incidence_wft</vt:lpstr>
      <vt:lpstr>prevalence_wft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Morgan (Strategy Unit, hosted by ML)</dc:creator>
  <cp:lastModifiedBy>MORGAN, Lucy (NHS MIDLANDS AND LANCASHIRE COMMISSIONIN</cp:lastModifiedBy>
  <dcterms:created xsi:type="dcterms:W3CDTF">2025-12-15T16:14:36Z</dcterms:created>
  <dcterms:modified xsi:type="dcterms:W3CDTF">2026-01-20T13:50:34Z</dcterms:modified>
</cp:coreProperties>
</file>